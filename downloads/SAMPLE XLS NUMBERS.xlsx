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mark/Downloads/"/>
    </mc:Choice>
  </mc:AlternateContent>
  <xr:revisionPtr revIDLastSave="0" documentId="8_{8F172A6B-DCF2-F847-89D7-0798284280F4}" xr6:coauthVersionLast="47" xr6:coauthVersionMax="47" xr10:uidLastSave="{00000000-0000-0000-0000-000000000000}"/>
  <bookViews>
    <workbookView xWindow="34420" yWindow="-4580" windowWidth="34240" windowHeight="18060" activeTab="1" xr2:uid="{00000000-000D-0000-FFFF-FFFF00000000}"/>
  </bookViews>
  <sheets>
    <sheet name="体育" sheetId="1" r:id="rId1"/>
    <sheet name="游戏" sheetId="2" r:id="rId2"/>
    <sheet name="Sheet3" sheetId="3" r:id="rId3"/>
  </sheets>
  <definedNames>
    <definedName name="_xlnm._FilterDatabase" localSheetId="0" hidden="1">体育!$A$1:$R$467</definedName>
    <definedName name="_xlnm._FilterDatabase" localSheetId="1" hidden="1">游戏!$A$1:$R$270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7" i="1" l="1"/>
  <c r="D467" i="1"/>
  <c r="H466" i="1"/>
  <c r="D466" i="1"/>
  <c r="H465" i="1"/>
  <c r="D465" i="1"/>
  <c r="H464" i="1"/>
  <c r="D464" i="1"/>
  <c r="H463" i="1"/>
  <c r="D463" i="1"/>
  <c r="H462" i="1"/>
  <c r="D462" i="1"/>
  <c r="H461" i="1"/>
  <c r="D461" i="1"/>
  <c r="H460" i="1"/>
  <c r="D460" i="1"/>
  <c r="H459" i="1"/>
  <c r="D459" i="1"/>
  <c r="H458" i="1"/>
  <c r="D458" i="1"/>
  <c r="H457" i="1"/>
  <c r="D457" i="1"/>
  <c r="H456" i="1"/>
  <c r="D456" i="1"/>
  <c r="H455" i="1"/>
  <c r="D455" i="1"/>
  <c r="H454" i="1"/>
  <c r="D454" i="1"/>
  <c r="H453" i="1"/>
  <c r="D453" i="1"/>
  <c r="H452" i="1"/>
  <c r="D452" i="1"/>
  <c r="H451" i="1"/>
  <c r="D451" i="1"/>
  <c r="H450" i="1"/>
  <c r="D450" i="1"/>
  <c r="H449" i="1"/>
  <c r="D449" i="1"/>
  <c r="H448" i="1"/>
  <c r="D448" i="1"/>
  <c r="H447" i="1"/>
  <c r="D447" i="1"/>
  <c r="H446" i="1"/>
  <c r="D446" i="1"/>
  <c r="H445" i="1"/>
  <c r="D445" i="1"/>
  <c r="H444" i="1"/>
  <c r="D444" i="1"/>
  <c r="H443" i="1"/>
  <c r="D443" i="1"/>
  <c r="H442" i="1"/>
  <c r="D442" i="1"/>
  <c r="H441" i="1"/>
  <c r="D441" i="1"/>
  <c r="H440" i="1"/>
  <c r="D440" i="1"/>
  <c r="H439" i="1"/>
  <c r="D439" i="1"/>
  <c r="H438" i="1"/>
  <c r="D438" i="1"/>
  <c r="H437" i="1"/>
  <c r="D437" i="1"/>
  <c r="H436" i="1"/>
  <c r="D436" i="1"/>
  <c r="H435" i="1"/>
  <c r="D435" i="1"/>
  <c r="H434" i="1"/>
  <c r="D434" i="1"/>
  <c r="H433" i="1"/>
  <c r="D433" i="1"/>
  <c r="H432" i="1"/>
  <c r="D432" i="1"/>
  <c r="H431" i="1"/>
  <c r="D431" i="1"/>
  <c r="H430" i="1"/>
  <c r="D430" i="1"/>
  <c r="H429" i="1"/>
  <c r="D429" i="1"/>
  <c r="H428" i="1"/>
  <c r="D428" i="1"/>
  <c r="H427" i="1"/>
  <c r="D427" i="1"/>
  <c r="H426" i="1"/>
  <c r="D426" i="1"/>
  <c r="H425" i="1"/>
  <c r="D425" i="1"/>
  <c r="H424" i="1"/>
  <c r="D424" i="1"/>
  <c r="H423" i="1"/>
  <c r="D423" i="1"/>
  <c r="H422" i="1"/>
  <c r="D422" i="1"/>
  <c r="H421" i="1"/>
  <c r="D421" i="1"/>
  <c r="H420" i="1"/>
  <c r="D420" i="1"/>
  <c r="H419" i="1"/>
  <c r="D419" i="1"/>
  <c r="H418" i="1"/>
  <c r="D418" i="1"/>
  <c r="H417" i="1"/>
  <c r="D417" i="1"/>
  <c r="H416" i="1"/>
  <c r="D416" i="1"/>
  <c r="H415" i="1"/>
  <c r="D415" i="1"/>
  <c r="H414" i="1"/>
  <c r="D414" i="1"/>
  <c r="H413" i="1"/>
  <c r="D413" i="1"/>
  <c r="H412" i="1"/>
  <c r="D412" i="1"/>
  <c r="H411" i="1"/>
  <c r="D411" i="1"/>
  <c r="H410" i="1"/>
  <c r="D410" i="1"/>
  <c r="H409" i="1"/>
  <c r="D409" i="1"/>
  <c r="H408" i="1"/>
  <c r="D408" i="1"/>
  <c r="H407" i="1"/>
  <c r="D407" i="1"/>
  <c r="H406" i="1"/>
  <c r="D406" i="1"/>
  <c r="H405" i="1"/>
  <c r="D405" i="1"/>
  <c r="H404" i="1"/>
  <c r="D404" i="1"/>
  <c r="H403" i="1"/>
  <c r="D403" i="1"/>
  <c r="H402" i="1"/>
  <c r="D402" i="1"/>
  <c r="H401" i="1"/>
  <c r="D401" i="1"/>
  <c r="H400" i="1"/>
  <c r="D400" i="1"/>
  <c r="H399" i="1"/>
  <c r="D399" i="1"/>
  <c r="H398" i="1"/>
  <c r="D398" i="1"/>
  <c r="H397" i="1"/>
  <c r="D397" i="1"/>
  <c r="H396" i="1"/>
  <c r="D396" i="1"/>
  <c r="H395" i="1"/>
  <c r="D395" i="1"/>
  <c r="H394" i="1"/>
  <c r="D394" i="1"/>
  <c r="H393" i="1"/>
  <c r="D393" i="1"/>
  <c r="H392" i="1"/>
  <c r="D392" i="1"/>
  <c r="H391" i="1"/>
  <c r="D391" i="1"/>
  <c r="H390" i="1"/>
  <c r="D390" i="1"/>
  <c r="H389" i="1"/>
  <c r="D389" i="1"/>
  <c r="H388" i="1"/>
  <c r="D388" i="1"/>
  <c r="H387" i="1"/>
  <c r="D387" i="1"/>
  <c r="H386" i="1"/>
  <c r="D386" i="1"/>
  <c r="H385" i="1"/>
  <c r="D385" i="1"/>
  <c r="H384" i="1"/>
  <c r="D384" i="1"/>
  <c r="H383" i="1"/>
  <c r="D383" i="1"/>
  <c r="H382" i="1"/>
  <c r="D382" i="1"/>
  <c r="H381" i="1"/>
  <c r="D381" i="1"/>
  <c r="H380" i="1"/>
  <c r="D380" i="1"/>
  <c r="H379" i="1"/>
  <c r="D379" i="1"/>
  <c r="H378" i="1"/>
  <c r="D378" i="1"/>
  <c r="H377" i="1"/>
  <c r="D377" i="1"/>
  <c r="H376" i="1"/>
  <c r="D376" i="1"/>
  <c r="H375" i="1"/>
  <c r="D375" i="1"/>
  <c r="H374" i="1"/>
  <c r="D374" i="1"/>
  <c r="H373" i="1"/>
  <c r="D373" i="1"/>
  <c r="H372" i="1"/>
  <c r="D372" i="1"/>
  <c r="H371" i="1"/>
  <c r="D371" i="1"/>
  <c r="H370" i="1"/>
  <c r="D370" i="1"/>
  <c r="H369" i="1"/>
  <c r="D369" i="1"/>
  <c r="H368" i="1"/>
  <c r="D368" i="1"/>
  <c r="H367" i="1"/>
  <c r="D367" i="1"/>
  <c r="H366" i="1"/>
  <c r="D366" i="1"/>
  <c r="H365" i="1"/>
  <c r="D365" i="1"/>
  <c r="H364" i="1"/>
  <c r="D364" i="1"/>
  <c r="H363" i="1"/>
  <c r="D363" i="1"/>
  <c r="H362" i="1"/>
  <c r="D362" i="1"/>
  <c r="H361" i="1"/>
  <c r="D361" i="1"/>
  <c r="H360" i="1"/>
  <c r="D360" i="1"/>
  <c r="H359" i="1"/>
  <c r="D359" i="1"/>
  <c r="H358" i="1"/>
  <c r="D358" i="1"/>
  <c r="H357" i="1"/>
  <c r="D357" i="1"/>
  <c r="H356" i="1"/>
  <c r="D356" i="1"/>
  <c r="H355" i="1"/>
  <c r="D355" i="1"/>
  <c r="H354" i="1"/>
  <c r="D354" i="1"/>
  <c r="H353" i="1"/>
  <c r="D353" i="1"/>
  <c r="H352" i="1"/>
  <c r="D352" i="1"/>
  <c r="H351" i="1"/>
  <c r="D351" i="1"/>
  <c r="H350" i="1"/>
  <c r="D350" i="1"/>
  <c r="H349" i="1"/>
  <c r="D349" i="1"/>
  <c r="H348" i="1"/>
  <c r="D348" i="1"/>
  <c r="H347" i="1"/>
  <c r="D347" i="1"/>
  <c r="H346" i="1"/>
  <c r="D346" i="1"/>
  <c r="H345" i="1"/>
  <c r="D345" i="1"/>
  <c r="H344" i="1"/>
  <c r="D344" i="1"/>
  <c r="H343" i="1"/>
  <c r="D343" i="1"/>
  <c r="H342" i="1"/>
  <c r="D342" i="1"/>
  <c r="H341" i="1"/>
  <c r="D341" i="1"/>
  <c r="H340" i="1"/>
  <c r="D340" i="1"/>
  <c r="H339" i="1"/>
  <c r="D339" i="1"/>
  <c r="H338" i="1"/>
  <c r="D338" i="1"/>
  <c r="H337" i="1"/>
  <c r="D337" i="1"/>
  <c r="H336" i="1"/>
  <c r="D336" i="1"/>
  <c r="H335" i="1"/>
  <c r="D335" i="1"/>
  <c r="H334" i="1"/>
  <c r="D334" i="1"/>
  <c r="H333" i="1"/>
  <c r="D333" i="1"/>
  <c r="H332" i="1"/>
  <c r="D332" i="1"/>
  <c r="H331" i="1"/>
  <c r="D331" i="1"/>
  <c r="H330" i="1"/>
  <c r="D330" i="1"/>
  <c r="H329" i="1"/>
  <c r="D329" i="1"/>
  <c r="H328" i="1"/>
  <c r="D328" i="1"/>
  <c r="H327" i="1"/>
  <c r="D327" i="1"/>
  <c r="H326" i="1"/>
  <c r="D326" i="1"/>
  <c r="H325" i="1"/>
  <c r="D325" i="1"/>
  <c r="H324" i="1"/>
  <c r="D324" i="1"/>
  <c r="H323" i="1"/>
  <c r="D323" i="1"/>
  <c r="H322" i="1"/>
  <c r="D322" i="1"/>
  <c r="H321" i="1"/>
  <c r="D321" i="1"/>
  <c r="H320" i="1"/>
  <c r="D320" i="1"/>
  <c r="H319" i="1"/>
  <c r="D319" i="1"/>
  <c r="H318" i="1"/>
  <c r="D318" i="1"/>
  <c r="H317" i="1"/>
  <c r="D317" i="1"/>
  <c r="H316" i="1"/>
  <c r="D316" i="1"/>
  <c r="H315" i="1"/>
  <c r="D315" i="1"/>
  <c r="H314" i="1"/>
  <c r="D314" i="1"/>
  <c r="H313" i="1"/>
  <c r="D313" i="1"/>
  <c r="H312" i="1"/>
  <c r="D312" i="1"/>
  <c r="H311" i="1"/>
  <c r="D311" i="1"/>
  <c r="H310" i="1"/>
  <c r="D310" i="1"/>
  <c r="H309" i="1"/>
  <c r="D309" i="1"/>
  <c r="H308" i="1"/>
  <c r="D308" i="1"/>
  <c r="H307" i="1"/>
  <c r="D307" i="1"/>
  <c r="H306" i="1"/>
  <c r="D306" i="1"/>
  <c r="H305" i="1"/>
  <c r="D305" i="1"/>
  <c r="H304" i="1"/>
  <c r="D304" i="1"/>
  <c r="H303" i="1"/>
  <c r="D303" i="1"/>
  <c r="H302" i="1"/>
  <c r="D302" i="1"/>
  <c r="H301" i="1"/>
  <c r="D301" i="1"/>
  <c r="H300" i="1"/>
  <c r="D300" i="1"/>
  <c r="H299" i="1"/>
  <c r="D299" i="1"/>
  <c r="H298" i="1"/>
  <c r="D298" i="1"/>
  <c r="H297" i="1"/>
  <c r="D297" i="1"/>
  <c r="H296" i="1"/>
  <c r="D296" i="1"/>
  <c r="H295" i="1"/>
  <c r="D295" i="1"/>
  <c r="H294" i="1"/>
  <c r="D294" i="1"/>
  <c r="H293" i="1"/>
  <c r="D293" i="1"/>
  <c r="H292" i="1"/>
  <c r="D292" i="1"/>
  <c r="H291" i="1"/>
  <c r="D291" i="1"/>
  <c r="H290" i="1"/>
  <c r="D290" i="1"/>
  <c r="H289" i="1"/>
  <c r="D289" i="1"/>
  <c r="H288" i="1"/>
  <c r="D288" i="1"/>
  <c r="H287" i="1"/>
  <c r="D287" i="1"/>
  <c r="H286" i="1"/>
  <c r="D286" i="1"/>
  <c r="H285" i="1"/>
  <c r="D285" i="1"/>
  <c r="H284" i="1"/>
  <c r="D284" i="1"/>
  <c r="H283" i="1"/>
  <c r="D283" i="1"/>
  <c r="H282" i="1"/>
  <c r="D282" i="1"/>
  <c r="H281" i="1"/>
  <c r="D281" i="1"/>
  <c r="H280" i="1"/>
  <c r="D280" i="1"/>
  <c r="H279" i="1"/>
  <c r="D279" i="1"/>
  <c r="H278" i="1"/>
  <c r="D278" i="1"/>
  <c r="H277" i="1"/>
  <c r="D277" i="1"/>
  <c r="H276" i="1"/>
  <c r="D276" i="1"/>
  <c r="H275" i="1"/>
  <c r="D275" i="1"/>
  <c r="H274" i="1"/>
  <c r="D274" i="1"/>
  <c r="H273" i="1"/>
  <c r="D273" i="1"/>
  <c r="H272" i="1"/>
  <c r="D272" i="1"/>
  <c r="H271" i="1"/>
  <c r="D271" i="1"/>
  <c r="H270" i="1"/>
  <c r="D270" i="1"/>
  <c r="H269" i="1"/>
  <c r="D269" i="1"/>
  <c r="H268" i="1"/>
  <c r="D268" i="1"/>
  <c r="H267" i="1"/>
  <c r="D267" i="1"/>
  <c r="H266" i="1"/>
  <c r="D266" i="1"/>
  <c r="H265" i="1"/>
  <c r="D265" i="1"/>
  <c r="H264" i="1"/>
  <c r="D264" i="1"/>
  <c r="H263" i="1"/>
  <c r="D263" i="1"/>
  <c r="H262" i="1"/>
  <c r="D262" i="1"/>
  <c r="H261" i="1"/>
  <c r="D261" i="1"/>
  <c r="H260" i="1"/>
  <c r="D260" i="1"/>
  <c r="H259" i="1"/>
  <c r="D259" i="1"/>
  <c r="H258" i="1"/>
  <c r="D258" i="1"/>
  <c r="H257" i="1"/>
  <c r="D257" i="1"/>
  <c r="H256" i="1"/>
  <c r="D256" i="1"/>
  <c r="H255" i="1"/>
  <c r="D255" i="1"/>
  <c r="H254" i="1"/>
  <c r="D254" i="1"/>
  <c r="H253" i="1"/>
  <c r="D253" i="1"/>
  <c r="H252" i="1"/>
  <c r="D252" i="1"/>
  <c r="H251" i="1"/>
  <c r="D251" i="1"/>
  <c r="H250" i="1"/>
  <c r="D250" i="1"/>
  <c r="H249" i="1"/>
  <c r="D249" i="1"/>
  <c r="H248" i="1"/>
  <c r="D248" i="1"/>
  <c r="H247" i="1"/>
  <c r="D247" i="1"/>
  <c r="H246" i="1"/>
  <c r="D246" i="1"/>
  <c r="H245" i="1"/>
  <c r="D245" i="1"/>
  <c r="H244" i="1"/>
  <c r="D244" i="1"/>
  <c r="H243" i="1"/>
  <c r="D243" i="1"/>
  <c r="H242" i="1"/>
  <c r="D242" i="1"/>
  <c r="H241" i="1"/>
  <c r="D241" i="1"/>
  <c r="H240" i="1"/>
  <c r="D240" i="1"/>
  <c r="H239" i="1"/>
  <c r="D239" i="1"/>
  <c r="H238" i="1"/>
  <c r="D238" i="1"/>
  <c r="H237" i="1"/>
  <c r="D237" i="1"/>
  <c r="H236" i="1"/>
  <c r="D236" i="1"/>
  <c r="H235" i="1"/>
  <c r="D235" i="1"/>
  <c r="H234" i="1"/>
  <c r="D234" i="1"/>
  <c r="H233" i="1"/>
  <c r="D233" i="1"/>
  <c r="H232" i="1"/>
  <c r="D232" i="1"/>
  <c r="H231" i="1"/>
  <c r="D231" i="1"/>
  <c r="H230" i="1"/>
  <c r="D230" i="1"/>
  <c r="H229" i="1"/>
  <c r="D229" i="1"/>
  <c r="H228" i="1"/>
  <c r="D228" i="1"/>
  <c r="H227" i="1"/>
  <c r="D227" i="1"/>
  <c r="H226" i="1"/>
  <c r="D226" i="1"/>
  <c r="H225" i="1"/>
  <c r="D225" i="1"/>
  <c r="H224" i="1"/>
  <c r="D224" i="1"/>
  <c r="H223" i="1"/>
  <c r="D223" i="1"/>
  <c r="H222" i="1"/>
  <c r="D222" i="1"/>
  <c r="H221" i="1"/>
  <c r="D221" i="1"/>
  <c r="H220" i="1"/>
  <c r="D220" i="1"/>
  <c r="H219" i="1"/>
  <c r="D219" i="1"/>
  <c r="H218" i="1"/>
  <c r="D218" i="1"/>
  <c r="H217" i="1"/>
  <c r="D217" i="1"/>
  <c r="H216" i="1"/>
  <c r="D216" i="1"/>
  <c r="H215" i="1"/>
  <c r="D215" i="1"/>
  <c r="H214" i="1"/>
  <c r="D214" i="1"/>
  <c r="H213" i="1"/>
  <c r="D213" i="1"/>
  <c r="H212" i="1"/>
  <c r="D212" i="1"/>
  <c r="H211" i="1"/>
  <c r="D211" i="1"/>
  <c r="H210" i="1"/>
  <c r="D210" i="1"/>
  <c r="H209" i="1"/>
  <c r="D209" i="1"/>
  <c r="H208" i="1"/>
  <c r="D208" i="1"/>
  <c r="H207" i="1"/>
  <c r="D207" i="1"/>
  <c r="H206" i="1"/>
  <c r="D206" i="1"/>
  <c r="H205" i="1"/>
  <c r="D205" i="1"/>
  <c r="H204" i="1"/>
  <c r="D204" i="1"/>
  <c r="H203" i="1"/>
  <c r="D203" i="1"/>
  <c r="H202" i="1"/>
  <c r="D202" i="1"/>
  <c r="H201" i="1"/>
  <c r="D201" i="1"/>
  <c r="H200" i="1"/>
  <c r="D200" i="1"/>
  <c r="H199" i="1"/>
  <c r="D199" i="1"/>
  <c r="H198" i="1"/>
  <c r="D198" i="1"/>
  <c r="H197" i="1"/>
  <c r="D197" i="1"/>
  <c r="H196" i="1"/>
  <c r="D196" i="1"/>
  <c r="H195" i="1"/>
  <c r="D195" i="1"/>
  <c r="H194" i="1"/>
  <c r="D194" i="1"/>
  <c r="H193" i="1"/>
  <c r="D193" i="1"/>
  <c r="H192" i="1"/>
  <c r="D192" i="1"/>
  <c r="H191" i="1"/>
  <c r="D191" i="1"/>
  <c r="H190" i="1"/>
  <c r="D190" i="1"/>
  <c r="H189" i="1"/>
  <c r="D189" i="1"/>
  <c r="H188" i="1"/>
  <c r="D188" i="1"/>
  <c r="H187" i="1"/>
  <c r="D187" i="1"/>
  <c r="H186" i="1"/>
  <c r="D186" i="1"/>
  <c r="H185" i="1"/>
  <c r="D185" i="1"/>
  <c r="H184" i="1"/>
  <c r="D184" i="1"/>
  <c r="H183" i="1"/>
  <c r="D183" i="1"/>
  <c r="H182" i="1"/>
  <c r="D182" i="1"/>
  <c r="H181" i="1"/>
  <c r="D181" i="1"/>
  <c r="H180" i="1"/>
  <c r="D180" i="1"/>
  <c r="H179" i="1"/>
  <c r="D179" i="1"/>
  <c r="H178" i="1"/>
  <c r="D178" i="1"/>
  <c r="H177" i="1"/>
  <c r="D177" i="1"/>
  <c r="H176" i="1"/>
  <c r="D176" i="1"/>
  <c r="H175" i="1"/>
  <c r="D175" i="1"/>
  <c r="H174" i="1"/>
  <c r="D174" i="1"/>
  <c r="H173" i="1"/>
  <c r="D173" i="1"/>
  <c r="H172" i="1"/>
  <c r="D172" i="1"/>
  <c r="H171" i="1"/>
  <c r="D171" i="1"/>
  <c r="H170" i="1"/>
  <c r="D170" i="1"/>
  <c r="H169" i="1"/>
  <c r="D169" i="1"/>
  <c r="H168" i="1"/>
  <c r="D168" i="1"/>
  <c r="H167" i="1"/>
  <c r="D167" i="1"/>
  <c r="H166" i="1"/>
  <c r="D166" i="1"/>
  <c r="H165" i="1"/>
  <c r="D165" i="1"/>
  <c r="H164" i="1"/>
  <c r="D164" i="1"/>
  <c r="H163" i="1"/>
  <c r="D163" i="1"/>
  <c r="H162" i="1"/>
  <c r="D162" i="1"/>
  <c r="H161" i="1"/>
  <c r="D161" i="1"/>
  <c r="H160" i="1"/>
  <c r="D160" i="1"/>
  <c r="H159" i="1"/>
  <c r="D159" i="1"/>
  <c r="H158" i="1"/>
  <c r="D158" i="1"/>
  <c r="H157" i="1"/>
  <c r="D157" i="1"/>
  <c r="H156" i="1"/>
  <c r="D156" i="1"/>
  <c r="H155" i="1"/>
  <c r="D155" i="1"/>
  <c r="H154" i="1"/>
  <c r="D154" i="1"/>
  <c r="H153" i="1"/>
  <c r="D153" i="1"/>
  <c r="H152" i="1"/>
  <c r="D152" i="1"/>
  <c r="H151" i="1"/>
  <c r="D151" i="1"/>
  <c r="H150" i="1"/>
  <c r="D150" i="1"/>
  <c r="H149" i="1"/>
  <c r="D149" i="1"/>
  <c r="H148" i="1"/>
  <c r="D148" i="1"/>
  <c r="H147" i="1"/>
  <c r="D147" i="1"/>
  <c r="H146" i="1"/>
  <c r="D146" i="1"/>
  <c r="H145" i="1"/>
  <c r="D145" i="1"/>
  <c r="H144" i="1"/>
  <c r="D144" i="1"/>
  <c r="H143" i="1"/>
  <c r="D143" i="1"/>
  <c r="H142" i="1"/>
  <c r="D142" i="1"/>
  <c r="H141" i="1"/>
  <c r="D141" i="1"/>
  <c r="H140" i="1"/>
  <c r="D140" i="1"/>
  <c r="H139" i="1"/>
  <c r="D139" i="1"/>
  <c r="H138" i="1"/>
  <c r="D138" i="1"/>
  <c r="H137" i="1"/>
  <c r="D137" i="1"/>
  <c r="H136" i="1"/>
  <c r="D136" i="1"/>
  <c r="H135" i="1"/>
  <c r="D135" i="1"/>
  <c r="H134" i="1"/>
  <c r="D134" i="1"/>
  <c r="H133" i="1"/>
  <c r="D133" i="1"/>
  <c r="H132" i="1"/>
  <c r="D132" i="1"/>
  <c r="H131" i="1"/>
  <c r="D131" i="1"/>
  <c r="H130" i="1"/>
  <c r="D130" i="1"/>
  <c r="H129" i="1"/>
  <c r="D129" i="1"/>
  <c r="H128" i="1"/>
  <c r="D128" i="1"/>
  <c r="H127" i="1"/>
  <c r="D127" i="1"/>
  <c r="H126" i="1"/>
  <c r="D126" i="1"/>
  <c r="H125" i="1"/>
  <c r="D125" i="1"/>
  <c r="H124" i="1"/>
  <c r="D124" i="1"/>
  <c r="H123" i="1"/>
  <c r="D123" i="1"/>
  <c r="H122" i="1"/>
  <c r="D122" i="1"/>
  <c r="H121" i="1"/>
  <c r="D121" i="1"/>
  <c r="H120" i="1"/>
  <c r="D120" i="1"/>
  <c r="H119" i="1"/>
  <c r="D119" i="1"/>
  <c r="H118" i="1"/>
  <c r="D118" i="1"/>
  <c r="H117" i="1"/>
  <c r="D117" i="1"/>
  <c r="H116" i="1"/>
  <c r="D116" i="1"/>
  <c r="H115" i="1"/>
  <c r="D115" i="1"/>
  <c r="H114" i="1"/>
  <c r="D114" i="1"/>
  <c r="H113" i="1"/>
  <c r="D113" i="1"/>
  <c r="H112" i="1"/>
  <c r="D112" i="1"/>
  <c r="H111" i="1"/>
  <c r="D111" i="1"/>
  <c r="H110" i="1"/>
  <c r="D110" i="1"/>
  <c r="H109" i="1"/>
  <c r="D109" i="1"/>
  <c r="H108" i="1"/>
  <c r="D108" i="1"/>
  <c r="H107" i="1"/>
  <c r="D107" i="1"/>
  <c r="H106" i="1"/>
  <c r="D106" i="1"/>
  <c r="H105" i="1"/>
  <c r="D105" i="1"/>
  <c r="H104" i="1"/>
  <c r="D104" i="1"/>
  <c r="H103" i="1"/>
  <c r="D103" i="1"/>
  <c r="H102" i="1"/>
  <c r="D102" i="1"/>
  <c r="H101" i="1"/>
  <c r="D101" i="1"/>
  <c r="H100" i="1"/>
  <c r="D100" i="1"/>
  <c r="H99" i="1"/>
  <c r="D99" i="1"/>
  <c r="H98" i="1"/>
  <c r="D98" i="1"/>
  <c r="H97" i="1"/>
  <c r="D97" i="1"/>
  <c r="H96" i="1"/>
  <c r="D96" i="1"/>
  <c r="H95" i="1"/>
  <c r="D95" i="1"/>
  <c r="H94" i="1"/>
  <c r="D94" i="1"/>
  <c r="H93" i="1"/>
  <c r="D93" i="1"/>
  <c r="H92" i="1"/>
  <c r="D92" i="1"/>
  <c r="H91" i="1"/>
  <c r="D91" i="1"/>
  <c r="H90" i="1"/>
  <c r="D90" i="1"/>
  <c r="H89" i="1"/>
  <c r="D89" i="1"/>
  <c r="H88" i="1"/>
  <c r="D88" i="1"/>
  <c r="H87" i="1"/>
  <c r="D87" i="1"/>
  <c r="H86" i="1"/>
  <c r="D86" i="1"/>
  <c r="H85" i="1"/>
  <c r="D85" i="1"/>
  <c r="H84" i="1"/>
  <c r="D84" i="1"/>
  <c r="H83" i="1"/>
  <c r="D83" i="1"/>
  <c r="H82" i="1"/>
  <c r="D82" i="1"/>
  <c r="H81" i="1"/>
  <c r="D81" i="1"/>
  <c r="H80" i="1"/>
  <c r="D80" i="1"/>
  <c r="H79" i="1"/>
  <c r="D79" i="1"/>
  <c r="H78" i="1"/>
  <c r="D78" i="1"/>
  <c r="H77" i="1"/>
  <c r="D77" i="1"/>
  <c r="H76" i="1"/>
  <c r="D76" i="1"/>
  <c r="H75" i="1"/>
  <c r="D75" i="1"/>
  <c r="H74" i="1"/>
  <c r="D74" i="1"/>
  <c r="H73" i="1"/>
  <c r="D73" i="1"/>
  <c r="H72" i="1"/>
  <c r="D72" i="1"/>
  <c r="H71" i="1"/>
  <c r="D71" i="1"/>
  <c r="H70" i="1"/>
  <c r="D70" i="1"/>
  <c r="H69" i="1"/>
  <c r="D69" i="1"/>
  <c r="H68" i="1"/>
  <c r="D68" i="1"/>
  <c r="H67" i="1"/>
  <c r="D67" i="1"/>
  <c r="H66" i="1"/>
  <c r="D66" i="1"/>
  <c r="H65" i="1"/>
  <c r="D65" i="1"/>
  <c r="H64" i="1"/>
  <c r="D64" i="1"/>
  <c r="H63" i="1"/>
  <c r="D63" i="1"/>
  <c r="H62" i="1"/>
  <c r="D62" i="1"/>
  <c r="H61" i="1"/>
  <c r="D61" i="1"/>
  <c r="H60" i="1"/>
  <c r="D60" i="1"/>
  <c r="H59" i="1"/>
  <c r="D59" i="1"/>
  <c r="H58" i="1"/>
  <c r="D58" i="1"/>
  <c r="H57" i="1"/>
  <c r="D57" i="1"/>
  <c r="H56" i="1"/>
  <c r="D56" i="1"/>
  <c r="H55" i="1"/>
  <c r="D55" i="1"/>
  <c r="H54" i="1"/>
  <c r="D54" i="1"/>
  <c r="H53" i="1"/>
  <c r="D53" i="1"/>
  <c r="H52" i="1"/>
  <c r="D52" i="1"/>
  <c r="H51" i="1"/>
  <c r="D51" i="1"/>
  <c r="H50" i="1"/>
  <c r="D50" i="1"/>
  <c r="H49" i="1"/>
  <c r="D49" i="1"/>
  <c r="H48" i="1"/>
  <c r="D48" i="1"/>
  <c r="H47" i="1"/>
  <c r="D47" i="1"/>
  <c r="H46" i="1"/>
  <c r="D46" i="1"/>
  <c r="H45" i="1"/>
  <c r="D45" i="1"/>
  <c r="H44" i="1"/>
  <c r="D44" i="1"/>
  <c r="H43" i="1"/>
  <c r="D43" i="1"/>
  <c r="H42" i="1"/>
  <c r="D42" i="1"/>
  <c r="H41" i="1"/>
  <c r="D41" i="1"/>
  <c r="H40" i="1"/>
  <c r="D40" i="1"/>
  <c r="H39" i="1"/>
  <c r="D39" i="1"/>
  <c r="H38" i="1"/>
  <c r="D38" i="1"/>
  <c r="H37" i="1"/>
  <c r="D37" i="1"/>
  <c r="H36" i="1"/>
  <c r="D36" i="1"/>
  <c r="H35" i="1"/>
  <c r="D35" i="1"/>
  <c r="H34" i="1"/>
  <c r="D34" i="1"/>
  <c r="H33" i="1"/>
  <c r="D33" i="1"/>
  <c r="H32" i="1"/>
  <c r="D32" i="1"/>
  <c r="H31" i="1"/>
  <c r="D31" i="1"/>
  <c r="H30" i="1"/>
  <c r="D30" i="1"/>
  <c r="H29" i="1"/>
  <c r="D29" i="1"/>
  <c r="H28" i="1"/>
  <c r="D28" i="1"/>
  <c r="H27" i="1"/>
  <c r="D27" i="1"/>
  <c r="H26" i="1"/>
  <c r="D26" i="1"/>
  <c r="H25" i="1"/>
  <c r="D25" i="1"/>
  <c r="H24" i="1"/>
  <c r="D24" i="1"/>
  <c r="H23" i="1"/>
  <c r="D23" i="1"/>
  <c r="H22" i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2" i="1"/>
  <c r="D2" i="1"/>
</calcChain>
</file>

<file path=xl/sharedStrings.xml><?xml version="1.0" encoding="utf-8"?>
<sst xmlns="http://schemas.openxmlformats.org/spreadsheetml/2006/main" count="1972" uniqueCount="777">
  <si>
    <t>username</t>
  </si>
  <si>
    <t>最后登录时间</t>
  </si>
  <si>
    <t>分类</t>
  </si>
  <si>
    <t>总票数</t>
  </si>
  <si>
    <t>体育票数</t>
  </si>
  <si>
    <t>游戏票数</t>
  </si>
  <si>
    <t>充值金额(美金)</t>
  </si>
  <si>
    <t>充值金额(本币)</t>
  </si>
  <si>
    <t>账面coupon成本</t>
  </si>
  <si>
    <t>coupon</t>
  </si>
  <si>
    <t>是否充值</t>
  </si>
  <si>
    <t>充值金额</t>
  </si>
  <si>
    <t>投注总金额</t>
  </si>
  <si>
    <t>总ggr</t>
  </si>
  <si>
    <t>体育投注金额</t>
  </si>
  <si>
    <t>游戏投注金额</t>
  </si>
  <si>
    <t>体育ggr</t>
  </si>
  <si>
    <t>游戏ggr</t>
  </si>
  <si>
    <t>256759072862</t>
  </si>
  <si>
    <t>体育</t>
  </si>
  <si>
    <t>20张满50000-10000</t>
  </si>
  <si>
    <t>256707793559</t>
  </si>
  <si>
    <t>256785697400</t>
  </si>
  <si>
    <t>256780511349</t>
  </si>
  <si>
    <t>256701381026</t>
  </si>
  <si>
    <t>256779674140</t>
  </si>
  <si>
    <t>256752030094</t>
  </si>
  <si>
    <t>256707236884</t>
  </si>
  <si>
    <t>256704718335</t>
  </si>
  <si>
    <t>256787509958</t>
  </si>
  <si>
    <t>10张满50000-10000</t>
  </si>
  <si>
    <t>256758269183</t>
  </si>
  <si>
    <t>256781593553</t>
  </si>
  <si>
    <t>256764245185</t>
  </si>
  <si>
    <t>256709281639</t>
  </si>
  <si>
    <t>256706147528</t>
  </si>
  <si>
    <t>256755673394</t>
  </si>
  <si>
    <t>256774312359</t>
  </si>
  <si>
    <t>256704638776</t>
  </si>
  <si>
    <t>256700622591</t>
  </si>
  <si>
    <t>256745827903</t>
  </si>
  <si>
    <t>256772600008</t>
  </si>
  <si>
    <t>256702348406</t>
  </si>
  <si>
    <t>256756496476</t>
  </si>
  <si>
    <t>256773949046</t>
  </si>
  <si>
    <t>256752140606</t>
  </si>
  <si>
    <t>256740111089</t>
  </si>
  <si>
    <t>256704674799</t>
  </si>
  <si>
    <t>10张满25000-5000</t>
  </si>
  <si>
    <t>256773191299</t>
  </si>
  <si>
    <t>256784201951</t>
  </si>
  <si>
    <t>256776398684</t>
  </si>
  <si>
    <t>256783636206</t>
  </si>
  <si>
    <t>256701777715</t>
  </si>
  <si>
    <t>256786345663</t>
  </si>
  <si>
    <t>256769075076</t>
  </si>
  <si>
    <t>256768002069</t>
  </si>
  <si>
    <t>256770565729</t>
  </si>
  <si>
    <t>256786736440</t>
  </si>
  <si>
    <t>256701425137</t>
  </si>
  <si>
    <t>256784855714</t>
  </si>
  <si>
    <t>256759911552</t>
  </si>
  <si>
    <t>256774914011</t>
  </si>
  <si>
    <t>256779027609</t>
  </si>
  <si>
    <t>256741519454</t>
  </si>
  <si>
    <t>256782621724</t>
  </si>
  <si>
    <t>256768943004</t>
  </si>
  <si>
    <t>256771848375</t>
  </si>
  <si>
    <t>256771484978</t>
  </si>
  <si>
    <t>256768151206</t>
  </si>
  <si>
    <t>256746228387</t>
  </si>
  <si>
    <t>256752753329</t>
  </si>
  <si>
    <t>256759238320</t>
  </si>
  <si>
    <t>256782869411</t>
  </si>
  <si>
    <t>256748245766</t>
  </si>
  <si>
    <t>256700699407</t>
  </si>
  <si>
    <t>256750955380</t>
  </si>
  <si>
    <t>256746679327</t>
  </si>
  <si>
    <t>256754981324</t>
  </si>
  <si>
    <t>256781480013</t>
  </si>
  <si>
    <t>256756542597</t>
  </si>
  <si>
    <t>256780189641</t>
  </si>
  <si>
    <t>256708290577</t>
  </si>
  <si>
    <t>256702336400</t>
  </si>
  <si>
    <t>10张满10000-2000</t>
  </si>
  <si>
    <t>256709524199</t>
  </si>
  <si>
    <t>256775374719</t>
  </si>
  <si>
    <t>256778665821</t>
  </si>
  <si>
    <t>256748030358</t>
  </si>
  <si>
    <t>256754030125</t>
  </si>
  <si>
    <t>256744628581</t>
  </si>
  <si>
    <t>256757103239</t>
  </si>
  <si>
    <t>256702101450</t>
  </si>
  <si>
    <t>256746084335</t>
  </si>
  <si>
    <t>256775085444</t>
  </si>
  <si>
    <t>256742151155</t>
  </si>
  <si>
    <t>256787080221</t>
  </si>
  <si>
    <t>256743962207</t>
  </si>
  <si>
    <t>256790901796</t>
  </si>
  <si>
    <t>256767344376</t>
  </si>
  <si>
    <t>256706509538</t>
  </si>
  <si>
    <t>256761100477</t>
  </si>
  <si>
    <t>256775564358</t>
  </si>
  <si>
    <t>256704029621</t>
  </si>
  <si>
    <t>256754815333</t>
  </si>
  <si>
    <t>256758227356</t>
  </si>
  <si>
    <t>256775575359</t>
  </si>
  <si>
    <t>256774429223</t>
  </si>
  <si>
    <t>256774210110</t>
  </si>
  <si>
    <t>256701570310</t>
  </si>
  <si>
    <t>256703519531</t>
  </si>
  <si>
    <t>256701686251</t>
  </si>
  <si>
    <t>256772966262</t>
  </si>
  <si>
    <t>256702675460</t>
  </si>
  <si>
    <t>256785167894</t>
  </si>
  <si>
    <t>256752704532</t>
  </si>
  <si>
    <t>256740638846</t>
  </si>
  <si>
    <t>256785795264</t>
  </si>
  <si>
    <t>256740327145</t>
  </si>
  <si>
    <t>256772957607</t>
  </si>
  <si>
    <t>256772929995</t>
  </si>
  <si>
    <t>256701500522</t>
  </si>
  <si>
    <t>256759331025</t>
  </si>
  <si>
    <t>256705802268</t>
  </si>
  <si>
    <t>256778511756</t>
  </si>
  <si>
    <t>256791817858</t>
  </si>
  <si>
    <t>256754321799</t>
  </si>
  <si>
    <t>256760522246</t>
  </si>
  <si>
    <t>256702978248</t>
  </si>
  <si>
    <t>256704918395</t>
  </si>
  <si>
    <t>256740522559</t>
  </si>
  <si>
    <t>256758371787</t>
  </si>
  <si>
    <t>256754532692</t>
  </si>
  <si>
    <t>256765548486</t>
  </si>
  <si>
    <t>256771214080</t>
  </si>
  <si>
    <t>256704330270</t>
  </si>
  <si>
    <t>256701376966</t>
  </si>
  <si>
    <t>256784964767</t>
  </si>
  <si>
    <t>256746078191</t>
  </si>
  <si>
    <t>256704199960</t>
  </si>
  <si>
    <t>256700520044</t>
  </si>
  <si>
    <t>256745040624</t>
  </si>
  <si>
    <t>256782640999</t>
  </si>
  <si>
    <t>256756223479</t>
  </si>
  <si>
    <t>256779459489</t>
  </si>
  <si>
    <t>256772980000</t>
  </si>
  <si>
    <t>256765004830</t>
  </si>
  <si>
    <t>256792452140</t>
  </si>
  <si>
    <t>256744768653</t>
  </si>
  <si>
    <t>256770522331</t>
  </si>
  <si>
    <t>256701161355</t>
  </si>
  <si>
    <t>256701637686</t>
  </si>
  <si>
    <t>256753902296</t>
  </si>
  <si>
    <t>256744555403</t>
  </si>
  <si>
    <t>256706212355</t>
  </si>
  <si>
    <t>256754013155</t>
  </si>
  <si>
    <t>256783879773</t>
  </si>
  <si>
    <t>256774015921</t>
  </si>
  <si>
    <t>256741709563</t>
  </si>
  <si>
    <t>256743519831</t>
  </si>
  <si>
    <t>256782836504</t>
  </si>
  <si>
    <t>256764414119</t>
  </si>
  <si>
    <t>256752742935</t>
  </si>
  <si>
    <t>256708539520</t>
  </si>
  <si>
    <t>256703908004</t>
  </si>
  <si>
    <t>256783825857</t>
  </si>
  <si>
    <t>256779988829</t>
  </si>
  <si>
    <t>256763986885</t>
  </si>
  <si>
    <t>256769054506</t>
  </si>
  <si>
    <t>256708538703</t>
  </si>
  <si>
    <t>256777483970</t>
  </si>
  <si>
    <t>256785540153</t>
  </si>
  <si>
    <t>256740143770</t>
  </si>
  <si>
    <t>256746267806</t>
  </si>
  <si>
    <t>256781151519</t>
  </si>
  <si>
    <t>256790456409</t>
  </si>
  <si>
    <t>256743182425</t>
  </si>
  <si>
    <t>256705533487</t>
  </si>
  <si>
    <t>256769594874</t>
  </si>
  <si>
    <t>256771072497</t>
  </si>
  <si>
    <t>256701083626</t>
  </si>
  <si>
    <t>256707664751</t>
  </si>
  <si>
    <t>256740388356</t>
  </si>
  <si>
    <t>256748792282</t>
  </si>
  <si>
    <t>256785946898</t>
  </si>
  <si>
    <t>256702626536</t>
  </si>
  <si>
    <t>256751412293</t>
  </si>
  <si>
    <t>256706211762</t>
  </si>
  <si>
    <t>256761725948</t>
  </si>
  <si>
    <t>256774325230</t>
  </si>
  <si>
    <t>256703883964</t>
  </si>
  <si>
    <t>256782563722</t>
  </si>
  <si>
    <t>256778646455</t>
  </si>
  <si>
    <t>256764770409</t>
  </si>
  <si>
    <t>256757168817</t>
  </si>
  <si>
    <t>256742956065</t>
  </si>
  <si>
    <t>256742513388</t>
  </si>
  <si>
    <t>256741846658</t>
  </si>
  <si>
    <t>256755589658</t>
  </si>
  <si>
    <t>256760771180</t>
  </si>
  <si>
    <t>256755921741</t>
  </si>
  <si>
    <t>256740936544</t>
  </si>
  <si>
    <t>256709145560</t>
  </si>
  <si>
    <t>256759779498</t>
  </si>
  <si>
    <t>256772253811</t>
  </si>
  <si>
    <t>256753516977</t>
  </si>
  <si>
    <t>256788490827</t>
  </si>
  <si>
    <t>256700601296</t>
  </si>
  <si>
    <t>256780430908</t>
  </si>
  <si>
    <t>256706506708</t>
  </si>
  <si>
    <t>256705419123</t>
  </si>
  <si>
    <t>256790574693</t>
  </si>
  <si>
    <t>256769500752</t>
  </si>
  <si>
    <t>256761069584</t>
  </si>
  <si>
    <t>256777519923</t>
  </si>
  <si>
    <t>256740531198</t>
  </si>
  <si>
    <t>256742737046</t>
  </si>
  <si>
    <t>256779803257</t>
  </si>
  <si>
    <t>256783371015</t>
  </si>
  <si>
    <t>256775616935</t>
  </si>
  <si>
    <t>256705181048</t>
  </si>
  <si>
    <t>256771746863</t>
  </si>
  <si>
    <t>256788573962</t>
  </si>
  <si>
    <t>256781001500</t>
  </si>
  <si>
    <t>256782302239</t>
  </si>
  <si>
    <t>256740587659</t>
  </si>
  <si>
    <t>256701968741</t>
  </si>
  <si>
    <t>256741276652</t>
  </si>
  <si>
    <t>256748785145</t>
  </si>
  <si>
    <t>256704241830</t>
  </si>
  <si>
    <t>256773371041</t>
  </si>
  <si>
    <t>256771868567</t>
  </si>
  <si>
    <t>256749434207</t>
  </si>
  <si>
    <t>256778897328</t>
  </si>
  <si>
    <t>256779146795</t>
  </si>
  <si>
    <t>256757311086</t>
  </si>
  <si>
    <t>256702457744</t>
  </si>
  <si>
    <t>256754409337</t>
  </si>
  <si>
    <t>256746446433</t>
  </si>
  <si>
    <t>256751871107</t>
  </si>
  <si>
    <t>256782104633</t>
  </si>
  <si>
    <t>256709606867</t>
  </si>
  <si>
    <t>256745571347</t>
  </si>
  <si>
    <t>256777689129</t>
  </si>
  <si>
    <t>256744152232</t>
  </si>
  <si>
    <t>256740286967</t>
  </si>
  <si>
    <t>256744378341</t>
  </si>
  <si>
    <t>256789725378</t>
  </si>
  <si>
    <t>256741837542</t>
  </si>
  <si>
    <t>256768048849</t>
  </si>
  <si>
    <t>256768344935</t>
  </si>
  <si>
    <t>256743993854</t>
  </si>
  <si>
    <t>256741428519</t>
  </si>
  <si>
    <t>256703139474</t>
  </si>
  <si>
    <t>256759414326</t>
  </si>
  <si>
    <t>256763297430</t>
  </si>
  <si>
    <t>256774820497</t>
  </si>
  <si>
    <t>256768119835</t>
  </si>
  <si>
    <t>256772090877</t>
  </si>
  <si>
    <t>256700319957</t>
  </si>
  <si>
    <t>256787289189</t>
  </si>
  <si>
    <t>10张满5000-1000</t>
  </si>
  <si>
    <t>256774481656</t>
  </si>
  <si>
    <t>256761727065</t>
  </si>
  <si>
    <t>256774334583</t>
  </si>
  <si>
    <t>256754932432</t>
  </si>
  <si>
    <t>256790786739</t>
  </si>
  <si>
    <t>256773089727</t>
  </si>
  <si>
    <t>256779039952</t>
  </si>
  <si>
    <t>256758521653</t>
  </si>
  <si>
    <t>256753625909</t>
  </si>
  <si>
    <t>256760236407</t>
  </si>
  <si>
    <t>256750604920</t>
  </si>
  <si>
    <t>256750096063</t>
  </si>
  <si>
    <t>256790419368</t>
  </si>
  <si>
    <t>256782114992</t>
  </si>
  <si>
    <t>256773115107</t>
  </si>
  <si>
    <t>256709333430</t>
  </si>
  <si>
    <t>256741784700</t>
  </si>
  <si>
    <t>256701488129</t>
  </si>
  <si>
    <t>256785605659</t>
  </si>
  <si>
    <t>256756463814</t>
  </si>
  <si>
    <t>256769201041</t>
  </si>
  <si>
    <t>256750654855</t>
  </si>
  <si>
    <t>256752802481</t>
  </si>
  <si>
    <t>256743553566</t>
  </si>
  <si>
    <t>256759470622</t>
  </si>
  <si>
    <t>256775128295</t>
  </si>
  <si>
    <t>256786485353</t>
  </si>
  <si>
    <t>256706973722</t>
  </si>
  <si>
    <t>256788159291</t>
  </si>
  <si>
    <t>256704112557</t>
  </si>
  <si>
    <t>256756157347</t>
  </si>
  <si>
    <t>256704407353</t>
  </si>
  <si>
    <t>256760078892</t>
  </si>
  <si>
    <t>256784954254</t>
  </si>
  <si>
    <t>256742555737</t>
  </si>
  <si>
    <t>256774102928</t>
  </si>
  <si>
    <t>256789505171</t>
  </si>
  <si>
    <t>256759543213</t>
  </si>
  <si>
    <t>256758598491</t>
  </si>
  <si>
    <t>256759282256</t>
  </si>
  <si>
    <t>256786400727</t>
  </si>
  <si>
    <t>256765703258</t>
  </si>
  <si>
    <t>256793431875</t>
  </si>
  <si>
    <t>256771283656</t>
  </si>
  <si>
    <t>256785062925</t>
  </si>
  <si>
    <t>256744481038</t>
  </si>
  <si>
    <t>256777511701</t>
  </si>
  <si>
    <t>256787011089</t>
  </si>
  <si>
    <t>256749345241</t>
  </si>
  <si>
    <t>256752550853</t>
  </si>
  <si>
    <t>256748102544</t>
  </si>
  <si>
    <t>256762246036</t>
  </si>
  <si>
    <t>256746611164</t>
  </si>
  <si>
    <t>256740000007</t>
  </si>
  <si>
    <t>256703101507</t>
  </si>
  <si>
    <t>256759052684</t>
  </si>
  <si>
    <t>256741279181</t>
  </si>
  <si>
    <t>256752419766</t>
  </si>
  <si>
    <t>256702829277</t>
  </si>
  <si>
    <t>256765220377</t>
  </si>
  <si>
    <t>256706114758</t>
  </si>
  <si>
    <t>256756286216</t>
  </si>
  <si>
    <t>256768864138</t>
  </si>
  <si>
    <t>256742264233</t>
  </si>
  <si>
    <t>256748201869</t>
  </si>
  <si>
    <t>256745799997</t>
  </si>
  <si>
    <t>256762224177</t>
  </si>
  <si>
    <t>256776173691</t>
  </si>
  <si>
    <t>256700411212</t>
  </si>
  <si>
    <t>256702240910</t>
  </si>
  <si>
    <t>256708902953</t>
  </si>
  <si>
    <t>256703964956</t>
  </si>
  <si>
    <t>256784040535</t>
  </si>
  <si>
    <t>256765836266</t>
  </si>
  <si>
    <t>256707480624</t>
  </si>
  <si>
    <t>256700402936</t>
  </si>
  <si>
    <t>256791570337</t>
  </si>
  <si>
    <t>256773314989</t>
  </si>
  <si>
    <t>256783076748</t>
  </si>
  <si>
    <t>256771338949</t>
  </si>
  <si>
    <t>256754929003</t>
  </si>
  <si>
    <t>256756761940</t>
  </si>
  <si>
    <t>256706536696</t>
  </si>
  <si>
    <t>256762766390</t>
  </si>
  <si>
    <t>256775700100</t>
  </si>
  <si>
    <t>256740851092</t>
  </si>
  <si>
    <t>256777304130</t>
  </si>
  <si>
    <t>256788815190</t>
  </si>
  <si>
    <t>256776817530</t>
  </si>
  <si>
    <t>256756864046</t>
  </si>
  <si>
    <t>256749359892</t>
  </si>
  <si>
    <t>256772356337</t>
  </si>
  <si>
    <t>256745718613</t>
  </si>
  <si>
    <t>256784754987</t>
  </si>
  <si>
    <t>256754965744</t>
  </si>
  <si>
    <t>256744481280</t>
  </si>
  <si>
    <t>256758412394</t>
  </si>
  <si>
    <t>256768989432</t>
  </si>
  <si>
    <t>256782627151</t>
  </si>
  <si>
    <t>256781537027</t>
  </si>
  <si>
    <t>256784439373</t>
  </si>
  <si>
    <t>256778813208</t>
  </si>
  <si>
    <t>256780556341</t>
  </si>
  <si>
    <t>256743267488</t>
  </si>
  <si>
    <t>256706638267</t>
  </si>
  <si>
    <t>256762551402</t>
  </si>
  <si>
    <t>256750372999</t>
  </si>
  <si>
    <t>256770722017</t>
  </si>
  <si>
    <t>256752090877</t>
  </si>
  <si>
    <t>256780793539</t>
  </si>
  <si>
    <t>256761129362</t>
  </si>
  <si>
    <t>256708038827</t>
  </si>
  <si>
    <t>256782825592</t>
  </si>
  <si>
    <t>256765937235</t>
  </si>
  <si>
    <t>256754487753</t>
  </si>
  <si>
    <t>256781900149</t>
  </si>
  <si>
    <t>256752842223</t>
  </si>
  <si>
    <t>256754154657</t>
  </si>
  <si>
    <t>256785942396</t>
  </si>
  <si>
    <t>256749503809</t>
  </si>
  <si>
    <t>256780262368</t>
  </si>
  <si>
    <t>256743464518</t>
  </si>
  <si>
    <t>256701258202</t>
  </si>
  <si>
    <t>256759757948</t>
  </si>
  <si>
    <t>256754286124</t>
  </si>
  <si>
    <t>256767250589</t>
  </si>
  <si>
    <t>256775982394</t>
  </si>
  <si>
    <t>256745880128</t>
  </si>
  <si>
    <t>256708601644</t>
  </si>
  <si>
    <t>256782737420</t>
  </si>
  <si>
    <t>256751841350</t>
  </si>
  <si>
    <t>256758331510</t>
  </si>
  <si>
    <t>256764376286</t>
  </si>
  <si>
    <t>256768087970</t>
  </si>
  <si>
    <t>256751913560</t>
  </si>
  <si>
    <t>256742325699</t>
  </si>
  <si>
    <t>256740634208</t>
  </si>
  <si>
    <t>256708069541</t>
  </si>
  <si>
    <t>256749107176</t>
  </si>
  <si>
    <t>256705011451</t>
  </si>
  <si>
    <t>256785105328</t>
  </si>
  <si>
    <t>256706239510</t>
  </si>
  <si>
    <t>256747974497</t>
  </si>
  <si>
    <t>256771731553</t>
  </si>
  <si>
    <t>256751920494</t>
  </si>
  <si>
    <t>256741404513</t>
  </si>
  <si>
    <t>256788793530</t>
  </si>
  <si>
    <t>256752641214</t>
  </si>
  <si>
    <t>256787290490</t>
  </si>
  <si>
    <t>256782196260</t>
  </si>
  <si>
    <t>256783655742</t>
  </si>
  <si>
    <t>256709379579</t>
  </si>
  <si>
    <t>256740843232</t>
  </si>
  <si>
    <t>256757808542</t>
  </si>
  <si>
    <t>256756583558</t>
  </si>
  <si>
    <t>256709875192</t>
  </si>
  <si>
    <t>256707537856</t>
  </si>
  <si>
    <t>256775319314</t>
  </si>
  <si>
    <t>256773062841</t>
  </si>
  <si>
    <t>256783084913</t>
  </si>
  <si>
    <t>256764149819</t>
  </si>
  <si>
    <t>256760670630</t>
  </si>
  <si>
    <t>256752257194</t>
  </si>
  <si>
    <t>256783439762</t>
  </si>
  <si>
    <t>256778469572</t>
  </si>
  <si>
    <t>256780196349</t>
  </si>
  <si>
    <t>256772689452</t>
  </si>
  <si>
    <t>256750118805</t>
  </si>
  <si>
    <t>256768282249</t>
  </si>
  <si>
    <t>256708667955</t>
  </si>
  <si>
    <t>256708968460</t>
  </si>
  <si>
    <t>256772017690</t>
  </si>
  <si>
    <t>256770427180</t>
  </si>
  <si>
    <t>256788854076</t>
  </si>
  <si>
    <t>256790560361</t>
  </si>
  <si>
    <t>256762300983</t>
  </si>
  <si>
    <t>256768766591</t>
  </si>
  <si>
    <t>256777791456</t>
  </si>
  <si>
    <t>256785389029</t>
  </si>
  <si>
    <t>256749619558</t>
  </si>
  <si>
    <t>256751244168</t>
  </si>
  <si>
    <t>256786870778</t>
  </si>
  <si>
    <t>256784189250</t>
  </si>
  <si>
    <t>256764451418</t>
  </si>
  <si>
    <t>256704646836</t>
  </si>
  <si>
    <t>256702626866</t>
  </si>
  <si>
    <t>256751789549</t>
  </si>
  <si>
    <t>256753744891</t>
  </si>
  <si>
    <t>256700882329</t>
  </si>
  <si>
    <t>256767542240</t>
  </si>
  <si>
    <t>256780995304</t>
  </si>
  <si>
    <t>256704307819</t>
  </si>
  <si>
    <t>256784717275</t>
  </si>
  <si>
    <t>256771198659</t>
  </si>
  <si>
    <t>256773428588</t>
  </si>
  <si>
    <t>256747843622</t>
  </si>
  <si>
    <t>256783638240</t>
  </si>
  <si>
    <t>256706463956</t>
  </si>
  <si>
    <t>256765544170</t>
  </si>
  <si>
    <t>256778502000</t>
  </si>
  <si>
    <t>256789914322</t>
  </si>
  <si>
    <t>256746685685</t>
  </si>
  <si>
    <t>256704550709</t>
  </si>
  <si>
    <t>256701700665</t>
  </si>
  <si>
    <t>256770987581</t>
  </si>
  <si>
    <t>256746268507</t>
  </si>
  <si>
    <t>256756441311</t>
  </si>
  <si>
    <t>256766501405</t>
  </si>
  <si>
    <t>256755527096</t>
  </si>
  <si>
    <t>256785260191</t>
  </si>
  <si>
    <t>256766805962</t>
  </si>
  <si>
    <t>256708110252</t>
  </si>
  <si>
    <t>256791615105</t>
  </si>
  <si>
    <t>256749577988</t>
  </si>
  <si>
    <t>256790424155</t>
  </si>
  <si>
    <t>256756756985</t>
  </si>
  <si>
    <t>256703000166</t>
  </si>
  <si>
    <t>256776242864</t>
  </si>
  <si>
    <t>256768807759</t>
  </si>
  <si>
    <t>256707410963</t>
  </si>
  <si>
    <t>256776233973</t>
  </si>
  <si>
    <t>256780945712</t>
  </si>
  <si>
    <t>256774874265</t>
  </si>
  <si>
    <t>256780139250</t>
  </si>
  <si>
    <t>256742364638</t>
  </si>
  <si>
    <t>256704581826</t>
  </si>
  <si>
    <t>256784532571</t>
  </si>
  <si>
    <t>256742364633</t>
  </si>
  <si>
    <t>userid</t>
  </si>
  <si>
    <t>游戏bonus</t>
  </si>
  <si>
    <t>256703366830</t>
  </si>
  <si>
    <t>游戏</t>
  </si>
  <si>
    <t>256743896694</t>
  </si>
  <si>
    <t>256779175276</t>
  </si>
  <si>
    <t>256743564619</t>
  </si>
  <si>
    <t>256700812724</t>
  </si>
  <si>
    <t>256788854555</t>
  </si>
  <si>
    <t>256755173414</t>
  </si>
  <si>
    <t>256702123600</t>
  </si>
  <si>
    <t>256767862513</t>
  </si>
  <si>
    <t>256761202755</t>
  </si>
  <si>
    <t>256705585483</t>
  </si>
  <si>
    <t>256773851169</t>
  </si>
  <si>
    <t>256767418206</t>
  </si>
  <si>
    <t>256789204106</t>
  </si>
  <si>
    <t>256706824902</t>
  </si>
  <si>
    <t>256709608068</t>
  </si>
  <si>
    <t>256703674791</t>
  </si>
  <si>
    <t>256790307460</t>
  </si>
  <si>
    <t>256777178352</t>
  </si>
  <si>
    <t>256754176745</t>
  </si>
  <si>
    <t>256706727862</t>
  </si>
  <si>
    <t>256767153218</t>
  </si>
  <si>
    <t>256753717128</t>
  </si>
  <si>
    <t>256706889458</t>
  </si>
  <si>
    <t>256759637333</t>
  </si>
  <si>
    <t>256779379100</t>
  </si>
  <si>
    <t>256753390634</t>
  </si>
  <si>
    <t>256706948621</t>
  </si>
  <si>
    <t>256783678883</t>
  </si>
  <si>
    <t>256782550231</t>
  </si>
  <si>
    <t>256785911866</t>
  </si>
  <si>
    <t>256773569672</t>
  </si>
  <si>
    <t>256700131411</t>
  </si>
  <si>
    <t>256744442124</t>
  </si>
  <si>
    <t>256752478675</t>
  </si>
  <si>
    <t>256779778036</t>
  </si>
  <si>
    <t>256785348016</t>
  </si>
  <si>
    <t>256767755945</t>
  </si>
  <si>
    <t>256783034477</t>
  </si>
  <si>
    <t>256747775843</t>
  </si>
  <si>
    <t>256760309372</t>
  </si>
  <si>
    <t>256756961016</t>
  </si>
  <si>
    <t>256704674162</t>
  </si>
  <si>
    <t>256779718217</t>
  </si>
  <si>
    <t>256787676476</t>
  </si>
  <si>
    <t>256703135656</t>
  </si>
  <si>
    <t>256709694802</t>
  </si>
  <si>
    <t>256700935921</t>
  </si>
  <si>
    <t>256701421872</t>
  </si>
  <si>
    <t>256746495109</t>
  </si>
  <si>
    <t>256768383818</t>
  </si>
  <si>
    <t>256775292424</t>
  </si>
  <si>
    <t>256774970209</t>
  </si>
  <si>
    <t>256780727682</t>
  </si>
  <si>
    <t>256702665105</t>
  </si>
  <si>
    <t>256787064306</t>
  </si>
  <si>
    <t>256783313629</t>
  </si>
  <si>
    <t>256702661355</t>
  </si>
  <si>
    <t>256772368096</t>
  </si>
  <si>
    <t>256742998097</t>
  </si>
  <si>
    <t>256766219678</t>
  </si>
  <si>
    <t>256786581167</t>
  </si>
  <si>
    <t>256779503046</t>
  </si>
  <si>
    <t>256789465558</t>
  </si>
  <si>
    <t>256791373086</t>
  </si>
  <si>
    <t>256770647606</t>
  </si>
  <si>
    <t>256784043814</t>
  </si>
  <si>
    <t>256744818905</t>
  </si>
  <si>
    <t>256791872986</t>
  </si>
  <si>
    <t>256702228539</t>
  </si>
  <si>
    <t>256769651528</t>
  </si>
  <si>
    <t>256759400843</t>
  </si>
  <si>
    <t>256783595054</t>
  </si>
  <si>
    <t>256703299743</t>
  </si>
  <si>
    <t>256773965773</t>
  </si>
  <si>
    <t>256753442492</t>
  </si>
  <si>
    <t>256781073047</t>
  </si>
  <si>
    <t>256750797990</t>
  </si>
  <si>
    <t>256784708117</t>
  </si>
  <si>
    <t>256708062152</t>
  </si>
  <si>
    <t>256777663594</t>
  </si>
  <si>
    <t>256745231682</t>
  </si>
  <si>
    <t>256747223260</t>
  </si>
  <si>
    <t>256778820937</t>
  </si>
  <si>
    <t>256706069698</t>
  </si>
  <si>
    <t>256746167773</t>
  </si>
  <si>
    <t>256788210466</t>
  </si>
  <si>
    <t>256746887079</t>
  </si>
  <si>
    <t>256706377893</t>
  </si>
  <si>
    <t>256755317279</t>
  </si>
  <si>
    <t>256784027072</t>
  </si>
  <si>
    <t>256779567711</t>
  </si>
  <si>
    <t>256705286119</t>
  </si>
  <si>
    <t>256707133181</t>
  </si>
  <si>
    <t>256786524801</t>
  </si>
  <si>
    <t>256703546036</t>
  </si>
  <si>
    <t>256751458684</t>
  </si>
  <si>
    <t>256785989848</t>
  </si>
  <si>
    <t>256779218418</t>
  </si>
  <si>
    <t>256700741871</t>
  </si>
  <si>
    <t>256785644901</t>
  </si>
  <si>
    <t>256752805812</t>
  </si>
  <si>
    <t>256700270982</t>
  </si>
  <si>
    <t>256700186259</t>
  </si>
  <si>
    <t>256765394949</t>
  </si>
  <si>
    <t>256755549906</t>
  </si>
  <si>
    <t>256746100358</t>
  </si>
  <si>
    <t>256706185316</t>
  </si>
  <si>
    <t>256753818557</t>
  </si>
  <si>
    <t>256750055551</t>
  </si>
  <si>
    <t>256701242032</t>
  </si>
  <si>
    <t>256791598967</t>
  </si>
  <si>
    <t>256771899554</t>
  </si>
  <si>
    <t>256748329450</t>
  </si>
  <si>
    <t>256783307880</t>
  </si>
  <si>
    <t>256775766678</t>
  </si>
  <si>
    <t>256746073041</t>
  </si>
  <si>
    <t>256745500391</t>
  </si>
  <si>
    <t>256765738044</t>
  </si>
  <si>
    <t>256786760689</t>
  </si>
  <si>
    <t>256742443038</t>
  </si>
  <si>
    <t>256759944053</t>
  </si>
  <si>
    <t>256704934127</t>
  </si>
  <si>
    <t>256745397414</t>
  </si>
  <si>
    <t>256760463775</t>
  </si>
  <si>
    <t>256760694080</t>
  </si>
  <si>
    <t>256748063095</t>
  </si>
  <si>
    <t>256769326207</t>
  </si>
  <si>
    <t>256789314633</t>
  </si>
  <si>
    <t>256744054745</t>
  </si>
  <si>
    <t>256745337164</t>
  </si>
  <si>
    <t>256785270165</t>
  </si>
  <si>
    <t>256791321176</t>
  </si>
  <si>
    <t>256766092697</t>
  </si>
  <si>
    <t>256772508710</t>
  </si>
  <si>
    <t>256773599897</t>
  </si>
  <si>
    <t>256709632158</t>
  </si>
  <si>
    <t>256760612187</t>
  </si>
  <si>
    <t>256704498427</t>
  </si>
  <si>
    <t>256756247669</t>
  </si>
  <si>
    <t>256779560589</t>
  </si>
  <si>
    <t>256784816833</t>
  </si>
  <si>
    <t>256761333110</t>
  </si>
  <si>
    <t>256746061158</t>
  </si>
  <si>
    <t>256742102253</t>
  </si>
  <si>
    <t>256709106746</t>
  </si>
  <si>
    <t>256748274280</t>
  </si>
  <si>
    <t>256759043564</t>
  </si>
  <si>
    <t>256768161708</t>
  </si>
  <si>
    <t>256784127741</t>
  </si>
  <si>
    <t>256777813656</t>
  </si>
  <si>
    <t>256759770734</t>
  </si>
  <si>
    <t>256740582696</t>
  </si>
  <si>
    <t>256709327416</t>
  </si>
  <si>
    <t>256791724994</t>
  </si>
  <si>
    <t>256749810105</t>
  </si>
  <si>
    <t>256747315949</t>
  </si>
  <si>
    <t>256769427039</t>
  </si>
  <si>
    <t>256709665136</t>
  </si>
  <si>
    <t>256750635416</t>
  </si>
  <si>
    <t>256791065719</t>
  </si>
  <si>
    <t>256704013984</t>
  </si>
  <si>
    <t>256790840478</t>
  </si>
  <si>
    <t>256757079433</t>
  </si>
  <si>
    <t>256740997367</t>
  </si>
  <si>
    <t>256787819777</t>
  </si>
  <si>
    <t>256740540879</t>
  </si>
  <si>
    <t>256705582924</t>
  </si>
  <si>
    <t>256764802125</t>
  </si>
  <si>
    <t>256702200051</t>
  </si>
  <si>
    <t>256781366024</t>
  </si>
  <si>
    <t>256772570187</t>
  </si>
  <si>
    <t>256777355119</t>
  </si>
  <si>
    <t>256780930940</t>
  </si>
  <si>
    <t>256701296265</t>
  </si>
  <si>
    <t>256764037242</t>
  </si>
  <si>
    <t>256702219894</t>
  </si>
  <si>
    <t>256748949596</t>
  </si>
  <si>
    <t>256741408069</t>
  </si>
  <si>
    <t>256785176507</t>
  </si>
  <si>
    <t>256750367251</t>
  </si>
  <si>
    <t>256747202481</t>
  </si>
  <si>
    <t>256768904440</t>
  </si>
  <si>
    <t>256746773892</t>
  </si>
  <si>
    <t>256746340231</t>
  </si>
  <si>
    <t>256705314718</t>
  </si>
  <si>
    <t>256704099937</t>
  </si>
  <si>
    <t>256780922322</t>
  </si>
  <si>
    <t>256750795622</t>
  </si>
  <si>
    <t>256709918100</t>
  </si>
  <si>
    <t>256778778484</t>
  </si>
  <si>
    <t>256760634896</t>
  </si>
  <si>
    <t>256774492290</t>
  </si>
  <si>
    <t>256776203776</t>
  </si>
  <si>
    <t>256757844380</t>
  </si>
  <si>
    <t>256764915543</t>
  </si>
  <si>
    <t>256791380434</t>
  </si>
  <si>
    <t>256708557758</t>
  </si>
  <si>
    <t>256783617019</t>
  </si>
  <si>
    <t>256753571799</t>
  </si>
  <si>
    <t>256763756070</t>
  </si>
  <si>
    <t>256706120921</t>
  </si>
  <si>
    <t>256784761333</t>
  </si>
  <si>
    <t>256706482754</t>
  </si>
  <si>
    <t>256775011522</t>
  </si>
  <si>
    <t>256743965958</t>
  </si>
  <si>
    <t>256702761414</t>
  </si>
  <si>
    <t>256741889615</t>
  </si>
  <si>
    <t>256775921896</t>
  </si>
  <si>
    <t>256752422525</t>
  </si>
  <si>
    <t>256762079434</t>
  </si>
  <si>
    <t>256791918129</t>
  </si>
  <si>
    <t>256777894480</t>
  </si>
  <si>
    <t>256752283080</t>
  </si>
  <si>
    <t>256787084494</t>
  </si>
  <si>
    <t>256748635235</t>
  </si>
  <si>
    <t>256709717270</t>
  </si>
  <si>
    <t>256702643135</t>
  </si>
  <si>
    <t>256785794848</t>
  </si>
  <si>
    <t>256748626421</t>
  </si>
  <si>
    <t>256782249578</t>
  </si>
  <si>
    <t>256700338049</t>
  </si>
  <si>
    <t>256754631635</t>
  </si>
  <si>
    <t>256746697865</t>
  </si>
  <si>
    <t>256706139618</t>
  </si>
  <si>
    <t>256769823860</t>
  </si>
  <si>
    <t>256745486541</t>
  </si>
  <si>
    <t>256786569829</t>
  </si>
  <si>
    <t>256742727696</t>
  </si>
  <si>
    <t>256768317884</t>
  </si>
  <si>
    <t>256709678464</t>
  </si>
  <si>
    <t>256777342003</t>
  </si>
  <si>
    <t>256748013713</t>
  </si>
  <si>
    <t>256788553357</t>
  </si>
  <si>
    <t>256700638863</t>
  </si>
  <si>
    <t>256706181141</t>
  </si>
  <si>
    <t>256762231332</t>
  </si>
  <si>
    <t>256702384101</t>
  </si>
  <si>
    <t>256755517633</t>
  </si>
  <si>
    <t>256775906349</t>
  </si>
  <si>
    <t>256749382486</t>
  </si>
  <si>
    <t>256706695462</t>
  </si>
  <si>
    <t>256746228917</t>
  </si>
  <si>
    <t>256750123805</t>
  </si>
  <si>
    <t>256755484838</t>
  </si>
  <si>
    <t>256708720028</t>
  </si>
  <si>
    <t>256776138173</t>
  </si>
  <si>
    <t>256770453345</t>
  </si>
  <si>
    <t>256740836619</t>
  </si>
  <si>
    <t>256776008544</t>
  </si>
  <si>
    <t>256756667431</t>
  </si>
  <si>
    <t>256740878878</t>
  </si>
  <si>
    <t>256762401199</t>
  </si>
  <si>
    <t>256778357727</t>
  </si>
  <si>
    <t>256779981209</t>
  </si>
  <si>
    <t>256779812937</t>
  </si>
  <si>
    <t>256763135638</t>
  </si>
  <si>
    <t>256753951735</t>
  </si>
  <si>
    <t>256769163725</t>
  </si>
  <si>
    <t>256756026849</t>
  </si>
  <si>
    <t>256785633673</t>
  </si>
  <si>
    <t>256702937116</t>
  </si>
  <si>
    <t>256763448921</t>
  </si>
  <si>
    <t>256745470395</t>
  </si>
  <si>
    <t>256777323441</t>
  </si>
  <si>
    <t>256768968687</t>
  </si>
  <si>
    <t>256706602321</t>
  </si>
  <si>
    <t>256772792893</t>
  </si>
  <si>
    <t>256741690557</t>
  </si>
  <si>
    <t>Last Login Time</t>
  </si>
  <si>
    <t>Category</t>
  </si>
  <si>
    <t>Total Tickets</t>
  </si>
  <si>
    <t>Sports Tickets</t>
  </si>
  <si>
    <t>Game Tickets</t>
  </si>
  <si>
    <t>Deposit Amount (USD)</t>
  </si>
  <si>
    <t>Deposit Amount (Local Currency)</t>
  </si>
  <si>
    <t>Total GGR</t>
  </si>
  <si>
    <t>Game Bet Amount</t>
  </si>
  <si>
    <t>Sports GGR</t>
  </si>
  <si>
    <t>Game GGR</t>
  </si>
  <si>
    <t>Sports Bet Amount</t>
  </si>
  <si>
    <t>Total Bet Amount</t>
  </si>
  <si>
    <t>Deposit Status</t>
  </si>
  <si>
    <t>Deposit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</si>
</sst>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/d;@"/>
  </numFmts>
  <fonts count="7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FFFF00"/>
        <bgColor theme="4" tint="0.79995117038483843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168" fontId="0" fillId="0" borderId="0" xfId="0" applyNumberFormat="1">
      <alignment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3" fontId="0" fillId="0" borderId="0" xfId="0" applyNumberFormat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4" fillId="0" borderId="0" xfId="0" applyFont="1" applyAlignment="1"/>
    <xf numFmtId="0" fontId="1" fillId="2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7"/>
  <sheetViews>
    <sheetView topLeftCell="A49" workbookViewId="0">
      <selection activeCell="K20" sqref="K20:K456"/>
    </sheetView>
  </sheetViews>
  <sheetFormatPr baseColWidth="10" defaultColWidth="9" defaultRowHeight="15"/>
  <cols>
    <col min="1" max="1" width="14.1640625" customWidth="1"/>
    <col min="2" max="2" width="14.83203125" customWidth="1"/>
    <col min="5" max="6" width="10.1640625" customWidth="1"/>
    <col min="7" max="7" width="17.5" customWidth="1"/>
    <col min="8" max="9" width="20.83203125" hidden="1" customWidth="1"/>
    <col min="10" max="10" width="21.33203125" hidden="1" customWidth="1"/>
    <col min="11" max="11" width="12.5" style="12" customWidth="1"/>
    <col min="12" max="17" width="9.1640625" customWidth="1"/>
  </cols>
  <sheetData>
    <row r="1" spans="1:18" ht="3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13" t="s">
        <v>8</v>
      </c>
      <c r="J1" s="14" t="s">
        <v>9</v>
      </c>
      <c r="K1" s="1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t="s">
        <v>18</v>
      </c>
      <c r="B2" s="6">
        <v>46041.750567129602</v>
      </c>
      <c r="C2" s="7" t="s">
        <v>19</v>
      </c>
      <c r="D2" s="8">
        <f t="shared" ref="D2:D65" si="0">E2+F2</f>
        <v>736</v>
      </c>
      <c r="E2" s="8">
        <v>736</v>
      </c>
      <c r="F2" s="8"/>
      <c r="G2" s="8">
        <v>18810.57</v>
      </c>
      <c r="H2" s="8">
        <f t="shared" ref="H2:H65" si="1">G2*3500</f>
        <v>65836995</v>
      </c>
      <c r="I2" s="8">
        <v>200000</v>
      </c>
      <c r="J2" t="s">
        <v>20</v>
      </c>
      <c r="K2" s="12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</row>
    <row r="3" spans="1:18">
      <c r="A3" t="s">
        <v>21</v>
      </c>
      <c r="B3" s="6">
        <v>46035.105277777802</v>
      </c>
      <c r="C3" s="7" t="s">
        <v>19</v>
      </c>
      <c r="D3" s="8">
        <f t="shared" si="0"/>
        <v>456</v>
      </c>
      <c r="E3" s="8">
        <v>456</v>
      </c>
      <c r="F3" s="8"/>
      <c r="G3" s="8">
        <v>10139.73</v>
      </c>
      <c r="H3" s="8">
        <f t="shared" si="1"/>
        <v>35489055</v>
      </c>
      <c r="I3" s="8">
        <v>200000</v>
      </c>
      <c r="J3" t="s">
        <v>20</v>
      </c>
      <c r="K3" s="12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</row>
    <row r="4" spans="1:18">
      <c r="A4" t="s">
        <v>22</v>
      </c>
      <c r="B4" s="6">
        <v>46060.623599537001</v>
      </c>
      <c r="C4" s="7" t="s">
        <v>19</v>
      </c>
      <c r="D4" s="8">
        <f t="shared" si="0"/>
        <v>466</v>
      </c>
      <c r="E4" s="8">
        <v>466</v>
      </c>
      <c r="F4" s="8"/>
      <c r="G4" s="8">
        <v>9478.35</v>
      </c>
      <c r="H4" s="8">
        <f t="shared" si="1"/>
        <v>33174225</v>
      </c>
      <c r="I4" s="8">
        <v>200000</v>
      </c>
      <c r="J4" t="s">
        <v>20</v>
      </c>
      <c r="K4" s="12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</row>
    <row r="5" spans="1:18">
      <c r="A5" t="s">
        <v>23</v>
      </c>
      <c r="B5" s="6">
        <v>46023.869421296302</v>
      </c>
      <c r="C5" s="7" t="s">
        <v>19</v>
      </c>
      <c r="D5" s="8">
        <f t="shared" si="0"/>
        <v>1479</v>
      </c>
      <c r="E5" s="8">
        <v>1479</v>
      </c>
      <c r="F5" s="8"/>
      <c r="G5" s="8">
        <v>5444.97</v>
      </c>
      <c r="H5" s="8">
        <f t="shared" si="1"/>
        <v>19057395</v>
      </c>
      <c r="I5" s="8">
        <v>200000</v>
      </c>
      <c r="J5" t="s">
        <v>20</v>
      </c>
      <c r="K5" s="12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</row>
    <row r="6" spans="1:18">
      <c r="A6" t="s">
        <v>24</v>
      </c>
      <c r="B6" s="6">
        <v>46069.8102083333</v>
      </c>
      <c r="C6" s="7" t="s">
        <v>19</v>
      </c>
      <c r="D6" s="8">
        <f t="shared" si="0"/>
        <v>1345</v>
      </c>
      <c r="E6" s="8">
        <v>1345</v>
      </c>
      <c r="F6" s="8"/>
      <c r="G6" s="8">
        <v>4751.29</v>
      </c>
      <c r="H6" s="8">
        <f t="shared" si="1"/>
        <v>16629515</v>
      </c>
      <c r="I6" s="8">
        <v>200000</v>
      </c>
      <c r="J6" t="s">
        <v>20</v>
      </c>
      <c r="K6" s="12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</row>
    <row r="7" spans="1:18">
      <c r="A7" t="s">
        <v>25</v>
      </c>
      <c r="B7" s="6">
        <v>46041.454594907402</v>
      </c>
      <c r="C7" s="7" t="s">
        <v>19</v>
      </c>
      <c r="D7" s="8">
        <f t="shared" si="0"/>
        <v>4187</v>
      </c>
      <c r="E7" s="8">
        <v>1489</v>
      </c>
      <c r="F7" s="8">
        <v>2698</v>
      </c>
      <c r="G7" s="8">
        <v>4665.67</v>
      </c>
      <c r="H7" s="8">
        <f t="shared" si="1"/>
        <v>16329845</v>
      </c>
      <c r="I7" s="8">
        <v>200000</v>
      </c>
      <c r="J7" t="s">
        <v>20</v>
      </c>
      <c r="K7" s="12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</row>
    <row r="8" spans="1:18">
      <c r="A8" t="s">
        <v>26</v>
      </c>
      <c r="B8" s="6">
        <v>46068.279664351903</v>
      </c>
      <c r="C8" s="7" t="s">
        <v>19</v>
      </c>
      <c r="D8" s="8">
        <f t="shared" si="0"/>
        <v>768</v>
      </c>
      <c r="E8" s="8">
        <v>173</v>
      </c>
      <c r="F8" s="8">
        <v>595</v>
      </c>
      <c r="G8" s="8">
        <v>4590.88</v>
      </c>
      <c r="H8" s="8">
        <f t="shared" si="1"/>
        <v>16068080</v>
      </c>
      <c r="I8" s="8">
        <v>200000</v>
      </c>
      <c r="J8" t="s">
        <v>20</v>
      </c>
      <c r="K8" s="12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</row>
    <row r="9" spans="1:18">
      <c r="A9" t="s">
        <v>27</v>
      </c>
      <c r="B9" s="6">
        <v>46069.0077662037</v>
      </c>
      <c r="C9" s="7" t="s">
        <v>19</v>
      </c>
      <c r="D9" s="8">
        <f t="shared" si="0"/>
        <v>1743</v>
      </c>
      <c r="E9" s="8">
        <v>600</v>
      </c>
      <c r="F9" s="8">
        <v>1143</v>
      </c>
      <c r="G9" s="8">
        <v>4336.08</v>
      </c>
      <c r="H9" s="8">
        <f t="shared" si="1"/>
        <v>15176280</v>
      </c>
      <c r="I9" s="8">
        <v>200000</v>
      </c>
      <c r="J9" t="s">
        <v>20</v>
      </c>
      <c r="K9" s="12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</row>
    <row r="10" spans="1:18">
      <c r="A10" t="s">
        <v>28</v>
      </c>
      <c r="B10" s="6">
        <v>46040.862280092602</v>
      </c>
      <c r="C10" s="7" t="s">
        <v>19</v>
      </c>
      <c r="D10" s="8">
        <f t="shared" si="0"/>
        <v>2708</v>
      </c>
      <c r="E10" s="8">
        <v>933</v>
      </c>
      <c r="F10" s="8">
        <v>1775</v>
      </c>
      <c r="G10" s="8">
        <v>3992.78</v>
      </c>
      <c r="H10" s="8">
        <f t="shared" si="1"/>
        <v>13974730</v>
      </c>
      <c r="I10" s="8">
        <v>200000</v>
      </c>
      <c r="J10" t="s">
        <v>20</v>
      </c>
      <c r="K10" s="12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</row>
    <row r="11" spans="1:18">
      <c r="A11" t="s">
        <v>29</v>
      </c>
      <c r="B11" s="6">
        <v>46056.015474537002</v>
      </c>
      <c r="C11" s="7" t="s">
        <v>19</v>
      </c>
      <c r="D11" s="8">
        <f t="shared" si="0"/>
        <v>905</v>
      </c>
      <c r="E11" s="8">
        <v>905</v>
      </c>
      <c r="F11" s="8"/>
      <c r="G11" s="8">
        <v>2677.32</v>
      </c>
      <c r="H11" s="8">
        <f t="shared" si="1"/>
        <v>9370620</v>
      </c>
      <c r="I11" s="8">
        <v>100000</v>
      </c>
      <c r="J11" t="s">
        <v>30</v>
      </c>
      <c r="K11" s="12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</row>
    <row r="12" spans="1:18">
      <c r="A12" t="s">
        <v>31</v>
      </c>
      <c r="B12" s="6">
        <v>46064.136168981502</v>
      </c>
      <c r="C12" s="7" t="s">
        <v>19</v>
      </c>
      <c r="D12" s="8">
        <f t="shared" si="0"/>
        <v>275</v>
      </c>
      <c r="E12" s="8">
        <v>275</v>
      </c>
      <c r="F12" s="8"/>
      <c r="G12" s="8">
        <v>2579.38</v>
      </c>
      <c r="H12" s="8">
        <f t="shared" si="1"/>
        <v>9027830</v>
      </c>
      <c r="I12" s="8">
        <v>100000</v>
      </c>
      <c r="J12" t="s">
        <v>30</v>
      </c>
      <c r="K12" s="12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</row>
    <row r="13" spans="1:18">
      <c r="A13" t="s">
        <v>32</v>
      </c>
      <c r="B13" s="6">
        <v>46032.907476851899</v>
      </c>
      <c r="C13" s="7" t="s">
        <v>19</v>
      </c>
      <c r="D13" s="8">
        <f t="shared" si="0"/>
        <v>115</v>
      </c>
      <c r="E13" s="8">
        <v>115</v>
      </c>
      <c r="F13" s="8"/>
      <c r="G13" s="8">
        <v>2487.11</v>
      </c>
      <c r="H13" s="8">
        <f t="shared" si="1"/>
        <v>8704885</v>
      </c>
      <c r="I13" s="8">
        <v>100000</v>
      </c>
      <c r="J13" t="s">
        <v>30</v>
      </c>
      <c r="K13" s="12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</row>
    <row r="14" spans="1:18">
      <c r="A14" t="s">
        <v>33</v>
      </c>
      <c r="B14" s="6">
        <v>46042.606689814798</v>
      </c>
      <c r="C14" s="7" t="s">
        <v>19</v>
      </c>
      <c r="D14" s="8">
        <f t="shared" si="0"/>
        <v>863</v>
      </c>
      <c r="E14" s="8">
        <v>59</v>
      </c>
      <c r="F14" s="8">
        <v>804</v>
      </c>
      <c r="G14" s="8">
        <v>2344.85</v>
      </c>
      <c r="H14" s="8">
        <f t="shared" si="1"/>
        <v>8206975</v>
      </c>
      <c r="I14" s="8">
        <v>100000</v>
      </c>
      <c r="J14" t="s">
        <v>30</v>
      </c>
      <c r="K14" s="12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</row>
    <row r="15" spans="1:18">
      <c r="A15" t="s">
        <v>34</v>
      </c>
      <c r="B15" s="6">
        <v>46033.73</v>
      </c>
      <c r="C15" s="7" t="s">
        <v>19</v>
      </c>
      <c r="D15" s="8">
        <f t="shared" si="0"/>
        <v>1186</v>
      </c>
      <c r="E15" s="8">
        <v>32</v>
      </c>
      <c r="F15" s="8">
        <v>1154</v>
      </c>
      <c r="G15" s="8">
        <v>2217.4</v>
      </c>
      <c r="H15" s="8">
        <f t="shared" si="1"/>
        <v>7760900</v>
      </c>
      <c r="I15" s="8">
        <v>100000</v>
      </c>
      <c r="J15" t="s">
        <v>30</v>
      </c>
      <c r="K15" s="12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</row>
    <row r="16" spans="1:18">
      <c r="A16" t="s">
        <v>35</v>
      </c>
      <c r="B16" s="6">
        <v>46024.562071759297</v>
      </c>
      <c r="C16" s="7" t="s">
        <v>19</v>
      </c>
      <c r="D16" s="8">
        <f t="shared" si="0"/>
        <v>654</v>
      </c>
      <c r="E16" s="8">
        <v>654</v>
      </c>
      <c r="F16" s="8"/>
      <c r="G16" s="8">
        <v>2028.22</v>
      </c>
      <c r="H16" s="8">
        <f t="shared" si="1"/>
        <v>7098770</v>
      </c>
      <c r="I16" s="8">
        <v>100000</v>
      </c>
      <c r="J16" t="s">
        <v>30</v>
      </c>
      <c r="K16" s="12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</row>
    <row r="17" spans="1:18">
      <c r="A17" t="s">
        <v>36</v>
      </c>
      <c r="B17" s="6">
        <v>46054.563923611102</v>
      </c>
      <c r="C17" s="7" t="s">
        <v>19</v>
      </c>
      <c r="D17" s="8">
        <f t="shared" si="0"/>
        <v>543</v>
      </c>
      <c r="E17" s="8">
        <v>543</v>
      </c>
      <c r="F17" s="8"/>
      <c r="G17" s="8">
        <v>1891.75</v>
      </c>
      <c r="H17" s="8">
        <f t="shared" si="1"/>
        <v>6621125</v>
      </c>
      <c r="I17" s="8">
        <v>100000</v>
      </c>
      <c r="J17" t="s">
        <v>30</v>
      </c>
      <c r="K17" s="12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</row>
    <row r="18" spans="1:18">
      <c r="A18" t="s">
        <v>37</v>
      </c>
      <c r="B18" s="6">
        <v>46067.630601851903</v>
      </c>
      <c r="C18" s="7" t="s">
        <v>19</v>
      </c>
      <c r="D18" s="8">
        <f t="shared" si="0"/>
        <v>429</v>
      </c>
      <c r="E18" s="8">
        <v>429</v>
      </c>
      <c r="F18" s="8"/>
      <c r="G18" s="8">
        <v>1822.16</v>
      </c>
      <c r="H18" s="8">
        <f t="shared" si="1"/>
        <v>6377560</v>
      </c>
      <c r="I18" s="8">
        <v>100000</v>
      </c>
      <c r="J18" t="s">
        <v>30</v>
      </c>
      <c r="K18" s="12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</row>
    <row r="19" spans="1:18">
      <c r="A19" t="s">
        <v>38</v>
      </c>
      <c r="B19" s="6">
        <v>45965.882106481498</v>
      </c>
      <c r="C19" s="7" t="s">
        <v>19</v>
      </c>
      <c r="D19" s="8">
        <f t="shared" si="0"/>
        <v>345</v>
      </c>
      <c r="E19" s="8">
        <v>345</v>
      </c>
      <c r="F19" s="8"/>
      <c r="G19" s="8">
        <v>1811.34</v>
      </c>
      <c r="H19" s="8">
        <f t="shared" si="1"/>
        <v>6339690</v>
      </c>
      <c r="I19" s="8">
        <v>100000</v>
      </c>
      <c r="J19" t="s">
        <v>30</v>
      </c>
      <c r="K19" s="12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</row>
    <row r="20" spans="1:18">
      <c r="A20" t="s">
        <v>39</v>
      </c>
      <c r="B20" s="6">
        <v>46039.883993055599</v>
      </c>
      <c r="C20" s="7" t="s">
        <v>19</v>
      </c>
      <c r="D20" s="8">
        <f t="shared" si="0"/>
        <v>114</v>
      </c>
      <c r="E20" s="8">
        <v>114</v>
      </c>
      <c r="F20" s="8"/>
      <c r="G20" s="8">
        <v>1708.04</v>
      </c>
      <c r="H20" s="8">
        <f t="shared" si="1"/>
        <v>5978140</v>
      </c>
      <c r="I20" s="8">
        <v>100000</v>
      </c>
      <c r="J20" t="s">
        <v>30</v>
      </c>
      <c r="K20" s="12">
        <v>1</v>
      </c>
      <c r="L20" s="11">
        <v>157.96</v>
      </c>
      <c r="M20" s="11">
        <v>240.77</v>
      </c>
      <c r="N20" s="11">
        <v>113.78</v>
      </c>
      <c r="O20" s="11">
        <v>240.77</v>
      </c>
      <c r="P20" s="11">
        <v>0</v>
      </c>
      <c r="Q20" s="11">
        <v>113.78</v>
      </c>
      <c r="R20" s="11">
        <v>0</v>
      </c>
    </row>
    <row r="21" spans="1:18">
      <c r="A21" t="s">
        <v>40</v>
      </c>
      <c r="B21" s="6">
        <v>46064.4116319444</v>
      </c>
      <c r="C21" s="7" t="s">
        <v>19</v>
      </c>
      <c r="D21" s="8">
        <f t="shared" si="0"/>
        <v>138</v>
      </c>
      <c r="E21" s="8">
        <v>138</v>
      </c>
      <c r="F21" s="8"/>
      <c r="G21" s="8">
        <v>1537.04</v>
      </c>
      <c r="H21" s="8">
        <f t="shared" si="1"/>
        <v>5379640</v>
      </c>
      <c r="I21" s="8">
        <v>100000</v>
      </c>
      <c r="J21" t="s">
        <v>30</v>
      </c>
      <c r="K21" s="12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</row>
    <row r="22" spans="1:18">
      <c r="A22" t="s">
        <v>41</v>
      </c>
      <c r="B22" s="6">
        <v>46048.008067129602</v>
      </c>
      <c r="C22" s="7" t="s">
        <v>19</v>
      </c>
      <c r="D22" s="8">
        <f t="shared" si="0"/>
        <v>700</v>
      </c>
      <c r="E22" s="8">
        <v>700</v>
      </c>
      <c r="F22" s="8"/>
      <c r="G22" s="8">
        <v>1515.98</v>
      </c>
      <c r="H22" s="8">
        <f t="shared" si="1"/>
        <v>5305930</v>
      </c>
      <c r="I22" s="8">
        <v>100000</v>
      </c>
      <c r="J22" t="s">
        <v>30</v>
      </c>
      <c r="K22" s="12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</row>
    <row r="23" spans="1:18">
      <c r="A23" t="s">
        <v>42</v>
      </c>
      <c r="B23" s="6">
        <v>46040.685057870403</v>
      </c>
      <c r="C23" s="7" t="s">
        <v>19</v>
      </c>
      <c r="D23" s="8">
        <f t="shared" si="0"/>
        <v>331</v>
      </c>
      <c r="E23" s="8">
        <v>331</v>
      </c>
      <c r="F23" s="8"/>
      <c r="G23" s="8">
        <v>1491.31</v>
      </c>
      <c r="H23" s="8">
        <f t="shared" si="1"/>
        <v>5219585</v>
      </c>
      <c r="I23" s="8">
        <v>100000</v>
      </c>
      <c r="J23" t="s">
        <v>30</v>
      </c>
      <c r="K23" s="12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</row>
    <row r="24" spans="1:18">
      <c r="A24" t="s">
        <v>43</v>
      </c>
      <c r="B24" s="6">
        <v>46060.164479166699</v>
      </c>
      <c r="C24" s="7" t="s">
        <v>19</v>
      </c>
      <c r="D24" s="8">
        <f t="shared" si="0"/>
        <v>808</v>
      </c>
      <c r="E24" s="8">
        <v>808</v>
      </c>
      <c r="F24" s="8"/>
      <c r="G24" s="8">
        <v>1339.21</v>
      </c>
      <c r="H24" s="8">
        <f t="shared" si="1"/>
        <v>4687235</v>
      </c>
      <c r="I24" s="8">
        <v>100000</v>
      </c>
      <c r="J24" t="s">
        <v>30</v>
      </c>
      <c r="K24" s="12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</row>
    <row r="25" spans="1:18">
      <c r="A25" t="s">
        <v>44</v>
      </c>
      <c r="B25" s="6">
        <v>45988.364108796297</v>
      </c>
      <c r="C25" s="7" t="s">
        <v>19</v>
      </c>
      <c r="D25" s="8">
        <f t="shared" si="0"/>
        <v>261</v>
      </c>
      <c r="E25" s="8">
        <v>261</v>
      </c>
      <c r="F25" s="8"/>
      <c r="G25" s="8">
        <v>1307.47</v>
      </c>
      <c r="H25" s="8">
        <f t="shared" si="1"/>
        <v>4576145</v>
      </c>
      <c r="I25" s="8">
        <v>100000</v>
      </c>
      <c r="J25" t="s">
        <v>30</v>
      </c>
      <c r="K25" s="12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</row>
    <row r="26" spans="1:18">
      <c r="A26" t="s">
        <v>45</v>
      </c>
      <c r="B26" s="6">
        <v>46050.526111111103</v>
      </c>
      <c r="C26" s="7" t="s">
        <v>19</v>
      </c>
      <c r="D26" s="8">
        <f t="shared" si="0"/>
        <v>53</v>
      </c>
      <c r="E26" s="8">
        <v>53</v>
      </c>
      <c r="F26" s="8"/>
      <c r="G26" s="8">
        <v>1219.04</v>
      </c>
      <c r="H26" s="8">
        <f t="shared" si="1"/>
        <v>4266640</v>
      </c>
      <c r="I26" s="8">
        <v>100000</v>
      </c>
      <c r="J26" t="s">
        <v>30</v>
      </c>
      <c r="K26" s="12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</row>
    <row r="27" spans="1:18">
      <c r="A27" t="s">
        <v>46</v>
      </c>
      <c r="B27" s="6">
        <v>46066.517986111103</v>
      </c>
      <c r="C27" s="7" t="s">
        <v>19</v>
      </c>
      <c r="D27" s="8">
        <f t="shared" si="0"/>
        <v>331</v>
      </c>
      <c r="E27" s="8">
        <v>331</v>
      </c>
      <c r="F27" s="8"/>
      <c r="G27" s="8">
        <v>1189.18</v>
      </c>
      <c r="H27" s="8">
        <f t="shared" si="1"/>
        <v>4162130</v>
      </c>
      <c r="I27" s="8">
        <v>100000</v>
      </c>
      <c r="J27" t="s">
        <v>30</v>
      </c>
      <c r="K27" s="12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</row>
    <row r="28" spans="1:18">
      <c r="A28" t="s">
        <v>47</v>
      </c>
      <c r="B28" s="6">
        <v>46053.582002314797</v>
      </c>
      <c r="C28" s="7" t="s">
        <v>19</v>
      </c>
      <c r="D28" s="8">
        <f t="shared" si="0"/>
        <v>305</v>
      </c>
      <c r="E28" s="8">
        <v>305</v>
      </c>
      <c r="F28" s="8"/>
      <c r="G28" s="8">
        <v>1134.25</v>
      </c>
      <c r="H28" s="8">
        <f t="shared" si="1"/>
        <v>3969875</v>
      </c>
      <c r="I28" s="8">
        <v>50000</v>
      </c>
      <c r="J28" t="s">
        <v>48</v>
      </c>
      <c r="K28" s="12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</row>
    <row r="29" spans="1:18">
      <c r="A29" t="s">
        <v>49</v>
      </c>
      <c r="B29" s="6">
        <v>46030.845046296301</v>
      </c>
      <c r="C29" s="7" t="s">
        <v>19</v>
      </c>
      <c r="D29" s="8">
        <f t="shared" si="0"/>
        <v>400</v>
      </c>
      <c r="E29" s="8">
        <v>400</v>
      </c>
      <c r="F29" s="8"/>
      <c r="G29" s="8">
        <v>1030.93</v>
      </c>
      <c r="H29" s="8">
        <f t="shared" si="1"/>
        <v>3608255</v>
      </c>
      <c r="I29" s="8">
        <v>50000</v>
      </c>
      <c r="J29" t="s">
        <v>48</v>
      </c>
      <c r="K29" s="12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</row>
    <row r="30" spans="1:18">
      <c r="A30" t="s">
        <v>50</v>
      </c>
      <c r="B30" s="6">
        <v>46058.671053240701</v>
      </c>
      <c r="C30" s="7" t="s">
        <v>19</v>
      </c>
      <c r="D30" s="8">
        <f t="shared" si="0"/>
        <v>164</v>
      </c>
      <c r="E30" s="8">
        <v>164</v>
      </c>
      <c r="F30" s="8"/>
      <c r="G30" s="8">
        <v>1011.86</v>
      </c>
      <c r="H30" s="8">
        <f t="shared" si="1"/>
        <v>3541510</v>
      </c>
      <c r="I30" s="8">
        <v>50000</v>
      </c>
      <c r="J30" t="s">
        <v>48</v>
      </c>
      <c r="K30" s="12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</row>
    <row r="31" spans="1:18">
      <c r="A31" t="s">
        <v>51</v>
      </c>
      <c r="B31" s="6">
        <v>46065.8262384259</v>
      </c>
      <c r="C31" s="7" t="s">
        <v>19</v>
      </c>
      <c r="D31" s="8">
        <f t="shared" si="0"/>
        <v>136</v>
      </c>
      <c r="E31" s="8">
        <v>41</v>
      </c>
      <c r="F31" s="8">
        <v>95</v>
      </c>
      <c r="G31" s="8">
        <v>995.62</v>
      </c>
      <c r="H31" s="8">
        <f t="shared" si="1"/>
        <v>3484670</v>
      </c>
      <c r="I31" s="8">
        <v>50000</v>
      </c>
      <c r="J31" t="s">
        <v>48</v>
      </c>
      <c r="K31" s="12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</row>
    <row r="32" spans="1:18">
      <c r="A32" t="s">
        <v>52</v>
      </c>
      <c r="B32" s="6">
        <v>46004.140925925902</v>
      </c>
      <c r="C32" s="7" t="s">
        <v>19</v>
      </c>
      <c r="D32" s="8">
        <f t="shared" si="0"/>
        <v>71</v>
      </c>
      <c r="E32" s="8">
        <v>71</v>
      </c>
      <c r="F32" s="8"/>
      <c r="G32" s="8">
        <v>911.01</v>
      </c>
      <c r="H32" s="8">
        <f t="shared" si="1"/>
        <v>3188535</v>
      </c>
      <c r="I32" s="8">
        <v>50000</v>
      </c>
      <c r="J32" t="s">
        <v>48</v>
      </c>
      <c r="K32" s="12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</row>
    <row r="33" spans="1:18">
      <c r="A33" t="s">
        <v>53</v>
      </c>
      <c r="B33" s="6">
        <v>46040.558472222197</v>
      </c>
      <c r="C33" s="7" t="s">
        <v>19</v>
      </c>
      <c r="D33" s="8">
        <f t="shared" si="0"/>
        <v>325</v>
      </c>
      <c r="E33" s="8">
        <v>325</v>
      </c>
      <c r="F33" s="8"/>
      <c r="G33" s="8">
        <v>876.29</v>
      </c>
      <c r="H33" s="8">
        <f t="shared" si="1"/>
        <v>3067015</v>
      </c>
      <c r="I33" s="8">
        <v>50000</v>
      </c>
      <c r="J33" t="s">
        <v>48</v>
      </c>
      <c r="K33" s="12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</row>
    <row r="34" spans="1:18">
      <c r="A34" t="s">
        <v>54</v>
      </c>
      <c r="B34" s="6">
        <v>46065.766828703701</v>
      </c>
      <c r="C34" s="7" t="s">
        <v>19</v>
      </c>
      <c r="D34" s="8">
        <f t="shared" si="0"/>
        <v>160</v>
      </c>
      <c r="E34" s="8">
        <v>160</v>
      </c>
      <c r="F34" s="8"/>
      <c r="G34" s="8">
        <v>869.66</v>
      </c>
      <c r="H34" s="8">
        <f t="shared" si="1"/>
        <v>3043810</v>
      </c>
      <c r="I34" s="8">
        <v>50000</v>
      </c>
      <c r="J34" t="s">
        <v>48</v>
      </c>
      <c r="K34" s="12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</row>
    <row r="35" spans="1:18">
      <c r="A35" t="s">
        <v>55</v>
      </c>
      <c r="B35" s="6">
        <v>46031.737164351798</v>
      </c>
      <c r="C35" s="7" t="s">
        <v>19</v>
      </c>
      <c r="D35" s="8">
        <f t="shared" si="0"/>
        <v>335</v>
      </c>
      <c r="E35" s="8">
        <v>133</v>
      </c>
      <c r="F35" s="8">
        <v>202</v>
      </c>
      <c r="G35" s="8">
        <v>858.07</v>
      </c>
      <c r="H35" s="8">
        <f t="shared" si="1"/>
        <v>3003245</v>
      </c>
      <c r="I35" s="8">
        <v>50000</v>
      </c>
      <c r="J35" t="s">
        <v>48</v>
      </c>
      <c r="K35" s="12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</row>
    <row r="36" spans="1:18">
      <c r="A36" t="s">
        <v>56</v>
      </c>
      <c r="B36" s="6">
        <v>45977.497349537</v>
      </c>
      <c r="C36" s="7" t="s">
        <v>19</v>
      </c>
      <c r="D36" s="8">
        <f t="shared" si="0"/>
        <v>160</v>
      </c>
      <c r="E36" s="8">
        <v>160</v>
      </c>
      <c r="F36" s="8"/>
      <c r="G36" s="8">
        <v>856.06</v>
      </c>
      <c r="H36" s="8">
        <f t="shared" si="1"/>
        <v>2996210</v>
      </c>
      <c r="I36" s="8">
        <v>50000</v>
      </c>
      <c r="J36" t="s">
        <v>48</v>
      </c>
      <c r="K36" s="12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</row>
    <row r="37" spans="1:18">
      <c r="A37" t="s">
        <v>57</v>
      </c>
      <c r="B37" s="6">
        <v>46055.822638888902</v>
      </c>
      <c r="C37" s="7" t="s">
        <v>19</v>
      </c>
      <c r="D37" s="8">
        <f t="shared" si="0"/>
        <v>230</v>
      </c>
      <c r="E37" s="8">
        <v>230</v>
      </c>
      <c r="F37" s="8"/>
      <c r="G37" s="8">
        <v>851.93</v>
      </c>
      <c r="H37" s="8">
        <f t="shared" si="1"/>
        <v>2981755</v>
      </c>
      <c r="I37" s="8">
        <v>50000</v>
      </c>
      <c r="J37" t="s">
        <v>48</v>
      </c>
      <c r="K37" s="12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</row>
    <row r="38" spans="1:18">
      <c r="A38" t="s">
        <v>58</v>
      </c>
      <c r="B38" s="6">
        <v>46067.198240740698</v>
      </c>
      <c r="C38" s="7" t="s">
        <v>19</v>
      </c>
      <c r="D38" s="8">
        <f t="shared" si="0"/>
        <v>264</v>
      </c>
      <c r="E38" s="8">
        <v>85</v>
      </c>
      <c r="F38" s="8">
        <v>179</v>
      </c>
      <c r="G38" s="8">
        <v>844.56</v>
      </c>
      <c r="H38" s="8">
        <f t="shared" si="1"/>
        <v>2955960</v>
      </c>
      <c r="I38" s="8">
        <v>50000</v>
      </c>
      <c r="J38" t="s">
        <v>48</v>
      </c>
      <c r="K38" s="12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</row>
    <row r="39" spans="1:18">
      <c r="A39" t="s">
        <v>59</v>
      </c>
      <c r="B39" s="6">
        <v>46068.5566203704</v>
      </c>
      <c r="C39" s="7" t="s">
        <v>19</v>
      </c>
      <c r="D39" s="8">
        <f t="shared" si="0"/>
        <v>1067</v>
      </c>
      <c r="E39" s="8">
        <v>1067</v>
      </c>
      <c r="F39" s="8"/>
      <c r="G39" s="8">
        <v>806.7</v>
      </c>
      <c r="H39" s="8">
        <f t="shared" si="1"/>
        <v>2823450</v>
      </c>
      <c r="I39" s="8">
        <v>50000</v>
      </c>
      <c r="J39" t="s">
        <v>48</v>
      </c>
      <c r="K39" s="12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</row>
    <row r="40" spans="1:18">
      <c r="A40" t="s">
        <v>60</v>
      </c>
      <c r="B40" s="6">
        <v>45956.283449074101</v>
      </c>
      <c r="C40" s="7" t="s">
        <v>19</v>
      </c>
      <c r="D40" s="8">
        <f t="shared" si="0"/>
        <v>315</v>
      </c>
      <c r="E40" s="8">
        <v>315</v>
      </c>
      <c r="F40" s="8"/>
      <c r="G40" s="8">
        <v>792.01</v>
      </c>
      <c r="H40" s="8">
        <f t="shared" si="1"/>
        <v>2772035</v>
      </c>
      <c r="I40" s="8">
        <v>50000</v>
      </c>
      <c r="J40" t="s">
        <v>48</v>
      </c>
      <c r="K40" s="12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</row>
    <row r="41" spans="1:18">
      <c r="A41" t="s">
        <v>61</v>
      </c>
      <c r="B41" s="6">
        <v>46069.548020833303</v>
      </c>
      <c r="C41" s="7" t="s">
        <v>19</v>
      </c>
      <c r="D41" s="8">
        <f t="shared" si="0"/>
        <v>435</v>
      </c>
      <c r="E41" s="8">
        <v>435</v>
      </c>
      <c r="F41" s="8"/>
      <c r="G41" s="8">
        <v>780.03</v>
      </c>
      <c r="H41" s="8">
        <f t="shared" si="1"/>
        <v>2730105</v>
      </c>
      <c r="I41" s="8">
        <v>50000</v>
      </c>
      <c r="J41" t="s">
        <v>48</v>
      </c>
      <c r="K41" s="12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</row>
    <row r="42" spans="1:18">
      <c r="A42" t="s">
        <v>62</v>
      </c>
      <c r="B42" s="6">
        <v>46035.710659722201</v>
      </c>
      <c r="C42" s="7" t="s">
        <v>19</v>
      </c>
      <c r="D42" s="8">
        <f t="shared" si="0"/>
        <v>691</v>
      </c>
      <c r="E42" s="8">
        <v>324</v>
      </c>
      <c r="F42" s="8">
        <v>367</v>
      </c>
      <c r="G42" s="8">
        <v>766.37</v>
      </c>
      <c r="H42" s="8">
        <f t="shared" si="1"/>
        <v>2682295</v>
      </c>
      <c r="I42" s="8">
        <v>50000</v>
      </c>
      <c r="J42" t="s">
        <v>48</v>
      </c>
      <c r="K42" s="12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</row>
    <row r="43" spans="1:18">
      <c r="A43" t="s">
        <v>63</v>
      </c>
      <c r="B43" s="6">
        <v>46012.581701388903</v>
      </c>
      <c r="C43" s="7" t="s">
        <v>19</v>
      </c>
      <c r="D43" s="8">
        <f t="shared" si="0"/>
        <v>207</v>
      </c>
      <c r="E43" s="8">
        <v>207</v>
      </c>
      <c r="F43" s="8"/>
      <c r="G43" s="8">
        <v>759.54</v>
      </c>
      <c r="H43" s="8">
        <f t="shared" si="1"/>
        <v>2658390</v>
      </c>
      <c r="I43" s="8">
        <v>50000</v>
      </c>
      <c r="J43" t="s">
        <v>48</v>
      </c>
      <c r="K43" s="12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</row>
    <row r="44" spans="1:18">
      <c r="A44" t="s">
        <v>64</v>
      </c>
      <c r="B44" s="6">
        <v>46027.192893518499</v>
      </c>
      <c r="C44" s="7" t="s">
        <v>19</v>
      </c>
      <c r="D44" s="8">
        <f t="shared" si="0"/>
        <v>422</v>
      </c>
      <c r="E44" s="8">
        <v>422</v>
      </c>
      <c r="F44" s="8"/>
      <c r="G44" s="8">
        <v>755.93</v>
      </c>
      <c r="H44" s="8">
        <f t="shared" si="1"/>
        <v>2645755</v>
      </c>
      <c r="I44" s="8">
        <v>50000</v>
      </c>
      <c r="J44" t="s">
        <v>48</v>
      </c>
      <c r="K44" s="12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</row>
    <row r="45" spans="1:18">
      <c r="A45" t="s">
        <v>65</v>
      </c>
      <c r="B45" s="6">
        <v>46062.462141203701</v>
      </c>
      <c r="C45" s="7" t="s">
        <v>19</v>
      </c>
      <c r="D45" s="8">
        <f t="shared" si="0"/>
        <v>146</v>
      </c>
      <c r="E45" s="8">
        <v>44</v>
      </c>
      <c r="F45" s="8">
        <v>102</v>
      </c>
      <c r="G45" s="8">
        <v>723.17</v>
      </c>
      <c r="H45" s="8">
        <f t="shared" si="1"/>
        <v>2531095</v>
      </c>
      <c r="I45" s="8">
        <v>50000</v>
      </c>
      <c r="J45" t="s">
        <v>48</v>
      </c>
      <c r="K45" s="12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</row>
    <row r="46" spans="1:18">
      <c r="A46" t="s">
        <v>66</v>
      </c>
      <c r="B46" s="6">
        <v>46024.022372685198</v>
      </c>
      <c r="C46" s="7" t="s">
        <v>19</v>
      </c>
      <c r="D46" s="8">
        <f t="shared" si="0"/>
        <v>50</v>
      </c>
      <c r="E46" s="8">
        <v>50</v>
      </c>
      <c r="F46" s="8"/>
      <c r="G46" s="8">
        <v>721.74</v>
      </c>
      <c r="H46" s="8">
        <f t="shared" si="1"/>
        <v>2526090</v>
      </c>
      <c r="I46" s="8">
        <v>50000</v>
      </c>
      <c r="J46" t="s">
        <v>48</v>
      </c>
      <c r="K46" s="12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</row>
    <row r="47" spans="1:18">
      <c r="A47" t="s">
        <v>67</v>
      </c>
      <c r="B47" s="6">
        <v>46014.5363194444</v>
      </c>
      <c r="C47" s="7" t="s">
        <v>19</v>
      </c>
      <c r="D47" s="8">
        <f t="shared" si="0"/>
        <v>82</v>
      </c>
      <c r="E47" s="8">
        <v>82</v>
      </c>
      <c r="F47" s="8"/>
      <c r="G47" s="8">
        <v>712.99</v>
      </c>
      <c r="H47" s="8">
        <f t="shared" si="1"/>
        <v>2495465</v>
      </c>
      <c r="I47" s="8">
        <v>50000</v>
      </c>
      <c r="J47" t="s">
        <v>48</v>
      </c>
      <c r="K47" s="12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</row>
    <row r="48" spans="1:18">
      <c r="A48" t="s">
        <v>68</v>
      </c>
      <c r="B48" s="6">
        <v>46030.868032407401</v>
      </c>
      <c r="C48" s="7" t="s">
        <v>19</v>
      </c>
      <c r="D48" s="8">
        <f t="shared" si="0"/>
        <v>368</v>
      </c>
      <c r="E48" s="8">
        <v>368</v>
      </c>
      <c r="F48" s="8"/>
      <c r="G48" s="8">
        <v>703.61</v>
      </c>
      <c r="H48" s="8">
        <f t="shared" si="1"/>
        <v>2462635</v>
      </c>
      <c r="I48" s="8">
        <v>50000</v>
      </c>
      <c r="J48" t="s">
        <v>48</v>
      </c>
      <c r="K48" s="12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</row>
    <row r="49" spans="1:18">
      <c r="A49" t="s">
        <v>69</v>
      </c>
      <c r="B49" s="6">
        <v>46013.695729166699</v>
      </c>
      <c r="C49" s="7" t="s">
        <v>19</v>
      </c>
      <c r="D49" s="8">
        <f t="shared" si="0"/>
        <v>49</v>
      </c>
      <c r="E49" s="8">
        <v>49</v>
      </c>
      <c r="F49" s="8"/>
      <c r="G49" s="8">
        <v>676.8</v>
      </c>
      <c r="H49" s="8">
        <f t="shared" si="1"/>
        <v>2368800</v>
      </c>
      <c r="I49" s="8">
        <v>50000</v>
      </c>
      <c r="J49" t="s">
        <v>48</v>
      </c>
      <c r="K49" s="12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</row>
    <row r="50" spans="1:18">
      <c r="A50" t="s">
        <v>70</v>
      </c>
      <c r="B50" s="6">
        <v>46044.577881944402</v>
      </c>
      <c r="C50" s="7" t="s">
        <v>19</v>
      </c>
      <c r="D50" s="8">
        <f t="shared" si="0"/>
        <v>48</v>
      </c>
      <c r="E50" s="8">
        <v>48</v>
      </c>
      <c r="F50" s="8"/>
      <c r="G50" s="8">
        <v>674.47</v>
      </c>
      <c r="H50" s="8">
        <f t="shared" si="1"/>
        <v>2360645</v>
      </c>
      <c r="I50" s="8">
        <v>50000</v>
      </c>
      <c r="J50" t="s">
        <v>48</v>
      </c>
      <c r="K50" s="12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</row>
    <row r="51" spans="1:18">
      <c r="A51" t="s">
        <v>71</v>
      </c>
      <c r="B51" s="6">
        <v>46053.512534722198</v>
      </c>
      <c r="C51" s="7" t="s">
        <v>19</v>
      </c>
      <c r="D51" s="8">
        <f t="shared" si="0"/>
        <v>271</v>
      </c>
      <c r="E51" s="8">
        <v>271</v>
      </c>
      <c r="F51" s="8"/>
      <c r="G51" s="8">
        <v>644.33000000000004</v>
      </c>
      <c r="H51" s="8">
        <f t="shared" si="1"/>
        <v>2255155</v>
      </c>
      <c r="I51" s="8">
        <v>50000</v>
      </c>
      <c r="J51" t="s">
        <v>48</v>
      </c>
      <c r="K51" s="12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</row>
    <row r="52" spans="1:18">
      <c r="A52" t="s">
        <v>72</v>
      </c>
      <c r="B52" s="6">
        <v>46048.046597222201</v>
      </c>
      <c r="C52" s="7" t="s">
        <v>19</v>
      </c>
      <c r="D52" s="8">
        <f t="shared" si="0"/>
        <v>240</v>
      </c>
      <c r="E52" s="8">
        <v>240</v>
      </c>
      <c r="F52" s="8"/>
      <c r="G52" s="8">
        <v>643.72</v>
      </c>
      <c r="H52" s="8">
        <f t="shared" si="1"/>
        <v>2253020</v>
      </c>
      <c r="I52" s="8">
        <v>50000</v>
      </c>
      <c r="J52" t="s">
        <v>48</v>
      </c>
      <c r="K52" s="12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</row>
    <row r="53" spans="1:18">
      <c r="A53" t="s">
        <v>73</v>
      </c>
      <c r="B53" s="6">
        <v>46030.693136574097</v>
      </c>
      <c r="C53" s="7" t="s">
        <v>19</v>
      </c>
      <c r="D53" s="8">
        <f t="shared" si="0"/>
        <v>334</v>
      </c>
      <c r="E53" s="8">
        <v>334</v>
      </c>
      <c r="F53" s="8"/>
      <c r="G53" s="8">
        <v>634.36</v>
      </c>
      <c r="H53" s="8">
        <f t="shared" si="1"/>
        <v>2220260</v>
      </c>
      <c r="I53" s="8">
        <v>50000</v>
      </c>
      <c r="J53" t="s">
        <v>48</v>
      </c>
      <c r="K53" s="12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</row>
    <row r="54" spans="1:18">
      <c r="A54" t="s">
        <v>74</v>
      </c>
      <c r="B54" s="6">
        <v>45991.207800925898</v>
      </c>
      <c r="C54" s="7" t="s">
        <v>19</v>
      </c>
      <c r="D54" s="8">
        <f t="shared" si="0"/>
        <v>48</v>
      </c>
      <c r="E54" s="8">
        <v>48</v>
      </c>
      <c r="F54" s="8"/>
      <c r="G54" s="8">
        <v>632.91999999999996</v>
      </c>
      <c r="H54" s="8">
        <f t="shared" si="1"/>
        <v>2215220</v>
      </c>
      <c r="I54" s="8">
        <v>50000</v>
      </c>
      <c r="J54" t="s">
        <v>48</v>
      </c>
      <c r="K54" s="12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</row>
    <row r="55" spans="1:18">
      <c r="A55" t="s">
        <v>75</v>
      </c>
      <c r="B55" s="6">
        <v>45990.806921296302</v>
      </c>
      <c r="C55" s="7" t="s">
        <v>19</v>
      </c>
      <c r="D55" s="8">
        <f t="shared" si="0"/>
        <v>85</v>
      </c>
      <c r="E55" s="8">
        <v>85</v>
      </c>
      <c r="F55" s="8"/>
      <c r="G55" s="8">
        <v>628.87</v>
      </c>
      <c r="H55" s="8">
        <f t="shared" si="1"/>
        <v>2201045</v>
      </c>
      <c r="I55" s="8">
        <v>50000</v>
      </c>
      <c r="J55" t="s">
        <v>48</v>
      </c>
      <c r="K55" s="12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</row>
    <row r="56" spans="1:18">
      <c r="A56" t="s">
        <v>76</v>
      </c>
      <c r="B56" s="6">
        <v>45987.409270833297</v>
      </c>
      <c r="C56" s="7" t="s">
        <v>19</v>
      </c>
      <c r="D56" s="8">
        <f t="shared" si="0"/>
        <v>208</v>
      </c>
      <c r="E56" s="8">
        <v>208</v>
      </c>
      <c r="F56" s="8"/>
      <c r="G56" s="8">
        <v>626.29</v>
      </c>
      <c r="H56" s="8">
        <f t="shared" si="1"/>
        <v>2192015</v>
      </c>
      <c r="I56" s="8">
        <v>50000</v>
      </c>
      <c r="J56" t="s">
        <v>48</v>
      </c>
      <c r="K56" s="12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</row>
    <row r="57" spans="1:18">
      <c r="A57" t="s">
        <v>77</v>
      </c>
      <c r="B57" s="6">
        <v>46019.228101851899</v>
      </c>
      <c r="C57" s="7" t="s">
        <v>19</v>
      </c>
      <c r="D57" s="8">
        <f t="shared" si="0"/>
        <v>373</v>
      </c>
      <c r="E57" s="8">
        <v>373</v>
      </c>
      <c r="F57" s="8"/>
      <c r="G57" s="8">
        <v>621.94000000000005</v>
      </c>
      <c r="H57" s="8">
        <f t="shared" si="1"/>
        <v>2176790</v>
      </c>
      <c r="I57" s="8">
        <v>50000</v>
      </c>
      <c r="J57" t="s">
        <v>48</v>
      </c>
      <c r="K57" s="12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</row>
    <row r="58" spans="1:18">
      <c r="A58" t="s">
        <v>78</v>
      </c>
      <c r="B58" s="6">
        <v>46067.614652777796</v>
      </c>
      <c r="C58" s="7" t="s">
        <v>19</v>
      </c>
      <c r="D58" s="8">
        <f t="shared" si="0"/>
        <v>65</v>
      </c>
      <c r="E58" s="8">
        <v>65</v>
      </c>
      <c r="F58" s="8"/>
      <c r="G58" s="8">
        <v>602.99</v>
      </c>
      <c r="H58" s="8">
        <f t="shared" si="1"/>
        <v>2110465</v>
      </c>
      <c r="I58" s="8">
        <v>50000</v>
      </c>
      <c r="J58" t="s">
        <v>48</v>
      </c>
      <c r="K58" s="12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</row>
    <row r="59" spans="1:18">
      <c r="A59" t="s">
        <v>79</v>
      </c>
      <c r="B59" s="6">
        <v>45988.532881944397</v>
      </c>
      <c r="C59" s="7" t="s">
        <v>19</v>
      </c>
      <c r="D59" s="8">
        <f t="shared" si="0"/>
        <v>50</v>
      </c>
      <c r="E59" s="8">
        <v>50</v>
      </c>
      <c r="F59" s="8"/>
      <c r="G59" s="8">
        <v>592.78</v>
      </c>
      <c r="H59" s="8">
        <f t="shared" si="1"/>
        <v>2074730</v>
      </c>
      <c r="I59" s="8">
        <v>50000</v>
      </c>
      <c r="J59" t="s">
        <v>48</v>
      </c>
      <c r="K59" s="12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</row>
    <row r="60" spans="1:18">
      <c r="A60" t="s">
        <v>80</v>
      </c>
      <c r="B60" s="6">
        <v>46042.164178240702</v>
      </c>
      <c r="C60" s="7" t="s">
        <v>19</v>
      </c>
      <c r="D60" s="8">
        <f t="shared" si="0"/>
        <v>84</v>
      </c>
      <c r="E60" s="8">
        <v>84</v>
      </c>
      <c r="F60" s="8"/>
      <c r="G60" s="8">
        <v>582.76</v>
      </c>
      <c r="H60" s="8">
        <f t="shared" si="1"/>
        <v>2039660</v>
      </c>
      <c r="I60" s="8">
        <v>50000</v>
      </c>
      <c r="J60" t="s">
        <v>48</v>
      </c>
      <c r="K60" s="12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</row>
    <row r="61" spans="1:18">
      <c r="A61" t="s">
        <v>81</v>
      </c>
      <c r="B61" s="6">
        <v>46020.228125000001</v>
      </c>
      <c r="C61" s="7" t="s">
        <v>19</v>
      </c>
      <c r="D61" s="8">
        <f t="shared" si="0"/>
        <v>229</v>
      </c>
      <c r="E61" s="8">
        <v>229</v>
      </c>
      <c r="F61" s="8"/>
      <c r="G61" s="8">
        <v>571.96</v>
      </c>
      <c r="H61" s="8">
        <f t="shared" si="1"/>
        <v>2001860</v>
      </c>
      <c r="I61" s="8">
        <v>50000</v>
      </c>
      <c r="J61" t="s">
        <v>48</v>
      </c>
      <c r="K61" s="12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</row>
    <row r="62" spans="1:18">
      <c r="A62" t="s">
        <v>82</v>
      </c>
      <c r="B62" s="6">
        <v>46059.492210648103</v>
      </c>
      <c r="C62" s="7" t="s">
        <v>19</v>
      </c>
      <c r="D62" s="8">
        <f t="shared" si="0"/>
        <v>36</v>
      </c>
      <c r="E62" s="8">
        <v>36</v>
      </c>
      <c r="F62" s="8"/>
      <c r="G62" s="8">
        <v>571.54999999999995</v>
      </c>
      <c r="H62" s="8">
        <f t="shared" si="1"/>
        <v>2000425</v>
      </c>
      <c r="I62" s="8">
        <v>50000</v>
      </c>
      <c r="J62" t="s">
        <v>48</v>
      </c>
      <c r="K62" s="12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</row>
    <row r="63" spans="1:18">
      <c r="A63" t="s">
        <v>83</v>
      </c>
      <c r="B63" s="6">
        <v>46044.6487962963</v>
      </c>
      <c r="C63" s="7" t="s">
        <v>19</v>
      </c>
      <c r="D63" s="8">
        <f t="shared" si="0"/>
        <v>22</v>
      </c>
      <c r="E63" s="8">
        <v>22</v>
      </c>
      <c r="F63" s="8"/>
      <c r="G63" s="8">
        <v>544.15</v>
      </c>
      <c r="H63" s="8">
        <f t="shared" si="1"/>
        <v>1904525</v>
      </c>
      <c r="I63" s="8">
        <v>20000</v>
      </c>
      <c r="J63" t="s">
        <v>84</v>
      </c>
      <c r="K63" s="12">
        <v>1</v>
      </c>
      <c r="L63" s="11">
        <v>10.26</v>
      </c>
      <c r="M63" s="11">
        <v>15.95</v>
      </c>
      <c r="N63" s="11">
        <v>-0.5</v>
      </c>
      <c r="O63" s="11">
        <v>15.95</v>
      </c>
      <c r="P63" s="11">
        <v>0</v>
      </c>
      <c r="Q63" s="11">
        <v>-0.5</v>
      </c>
      <c r="R63" s="11">
        <v>0</v>
      </c>
    </row>
    <row r="64" spans="1:18">
      <c r="A64" t="s">
        <v>85</v>
      </c>
      <c r="B64" s="6">
        <v>45998.823425925897</v>
      </c>
      <c r="C64" s="7" t="s">
        <v>19</v>
      </c>
      <c r="D64" s="8">
        <f t="shared" si="0"/>
        <v>63</v>
      </c>
      <c r="E64" s="8">
        <v>63</v>
      </c>
      <c r="F64" s="8"/>
      <c r="G64" s="8">
        <v>500</v>
      </c>
      <c r="H64" s="8">
        <f t="shared" si="1"/>
        <v>1750000</v>
      </c>
      <c r="I64" s="8">
        <v>20000</v>
      </c>
      <c r="J64" t="s">
        <v>84</v>
      </c>
      <c r="K64" s="12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</row>
    <row r="65" spans="1:18">
      <c r="A65" t="s">
        <v>86</v>
      </c>
      <c r="B65" s="6">
        <v>46068.354872685202</v>
      </c>
      <c r="C65" s="7" t="s">
        <v>19</v>
      </c>
      <c r="D65" s="8">
        <f t="shared" si="0"/>
        <v>140</v>
      </c>
      <c r="E65" s="8">
        <v>62</v>
      </c>
      <c r="F65" s="8">
        <v>78</v>
      </c>
      <c r="G65" s="8">
        <v>494.59</v>
      </c>
      <c r="H65" s="8">
        <f t="shared" si="1"/>
        <v>1731065</v>
      </c>
      <c r="I65" s="8">
        <v>20000</v>
      </c>
      <c r="J65" t="s">
        <v>84</v>
      </c>
      <c r="K65" s="12">
        <v>1</v>
      </c>
      <c r="L65" s="11">
        <v>48.97</v>
      </c>
      <c r="M65" s="11">
        <v>178.79</v>
      </c>
      <c r="N65" s="11">
        <v>48.93</v>
      </c>
      <c r="O65" s="11">
        <v>0</v>
      </c>
      <c r="P65" s="11">
        <v>178.79</v>
      </c>
      <c r="Q65" s="11">
        <v>0</v>
      </c>
      <c r="R65" s="11">
        <v>48.93</v>
      </c>
    </row>
    <row r="66" spans="1:18">
      <c r="A66" t="s">
        <v>87</v>
      </c>
      <c r="B66" s="6">
        <v>46050.531550925902</v>
      </c>
      <c r="C66" s="7" t="s">
        <v>19</v>
      </c>
      <c r="D66" s="8">
        <f t="shared" ref="D66:D129" si="2">E66+F66</f>
        <v>323</v>
      </c>
      <c r="E66" s="8">
        <v>138</v>
      </c>
      <c r="F66" s="8">
        <v>185</v>
      </c>
      <c r="G66" s="8">
        <v>489.54</v>
      </c>
      <c r="H66" s="8">
        <f t="shared" ref="H66:H129" si="3">G66*3500</f>
        <v>1713390</v>
      </c>
      <c r="I66" s="8">
        <v>20000</v>
      </c>
      <c r="J66" t="s">
        <v>84</v>
      </c>
      <c r="K66" s="12">
        <v>1</v>
      </c>
      <c r="L66" s="11">
        <v>22.68</v>
      </c>
      <c r="M66" s="11">
        <v>115.21</v>
      </c>
      <c r="N66" s="11">
        <v>8.6999999999999993</v>
      </c>
      <c r="O66" s="11">
        <v>0</v>
      </c>
      <c r="P66" s="11">
        <v>115.21</v>
      </c>
      <c r="Q66" s="11">
        <v>0</v>
      </c>
      <c r="R66" s="11">
        <v>8.6999999999999993</v>
      </c>
    </row>
    <row r="67" spans="1:18">
      <c r="A67" t="s">
        <v>88</v>
      </c>
      <c r="B67" s="6">
        <v>46061.284849536998</v>
      </c>
      <c r="C67" s="7" t="s">
        <v>19</v>
      </c>
      <c r="D67" s="8">
        <f t="shared" si="2"/>
        <v>84</v>
      </c>
      <c r="E67" s="8">
        <v>84</v>
      </c>
      <c r="F67" s="8"/>
      <c r="G67" s="8">
        <v>482.46</v>
      </c>
      <c r="H67" s="8">
        <f t="shared" si="3"/>
        <v>1688610</v>
      </c>
      <c r="I67" s="8">
        <v>20000</v>
      </c>
      <c r="J67" t="s">
        <v>84</v>
      </c>
      <c r="K67" s="12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</row>
    <row r="68" spans="1:18">
      <c r="A68" t="s">
        <v>89</v>
      </c>
      <c r="B68" s="6">
        <v>46030.897083333301</v>
      </c>
      <c r="C68" s="7" t="s">
        <v>19</v>
      </c>
      <c r="D68" s="8">
        <f t="shared" si="2"/>
        <v>216</v>
      </c>
      <c r="E68" s="8">
        <v>216</v>
      </c>
      <c r="F68" s="8"/>
      <c r="G68" s="8">
        <v>481.24</v>
      </c>
      <c r="H68" s="8">
        <f t="shared" si="3"/>
        <v>1684340</v>
      </c>
      <c r="I68" s="8">
        <v>20000</v>
      </c>
      <c r="J68" t="s">
        <v>84</v>
      </c>
      <c r="K68" s="12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</row>
    <row r="69" spans="1:18">
      <c r="A69" t="s">
        <v>90</v>
      </c>
      <c r="B69" s="6">
        <v>46035.329826388901</v>
      </c>
      <c r="C69" s="7" t="s">
        <v>19</v>
      </c>
      <c r="D69" s="8">
        <f t="shared" si="2"/>
        <v>223</v>
      </c>
      <c r="E69" s="8">
        <v>33</v>
      </c>
      <c r="F69" s="8">
        <v>190</v>
      </c>
      <c r="G69" s="8">
        <v>476.59</v>
      </c>
      <c r="H69" s="8">
        <f t="shared" si="3"/>
        <v>1668065</v>
      </c>
      <c r="I69" s="8">
        <v>20000</v>
      </c>
      <c r="J69" t="s">
        <v>84</v>
      </c>
      <c r="K69" s="12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</row>
    <row r="70" spans="1:18">
      <c r="A70" t="s">
        <v>91</v>
      </c>
      <c r="B70" s="6">
        <v>46054.4394791667</v>
      </c>
      <c r="C70" s="7" t="s">
        <v>19</v>
      </c>
      <c r="D70" s="8">
        <f t="shared" si="2"/>
        <v>275</v>
      </c>
      <c r="E70" s="8">
        <v>95</v>
      </c>
      <c r="F70" s="8">
        <v>180</v>
      </c>
      <c r="G70" s="8">
        <v>468.69</v>
      </c>
      <c r="H70" s="8">
        <f t="shared" si="3"/>
        <v>1640415</v>
      </c>
      <c r="I70" s="8">
        <v>20000</v>
      </c>
      <c r="J70" t="s">
        <v>84</v>
      </c>
      <c r="K70" s="12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</row>
    <row r="71" spans="1:18">
      <c r="A71" t="s">
        <v>92</v>
      </c>
      <c r="B71" s="6">
        <v>45932.888356481497</v>
      </c>
      <c r="C71" s="7" t="s">
        <v>19</v>
      </c>
      <c r="D71" s="8">
        <f t="shared" si="2"/>
        <v>388</v>
      </c>
      <c r="E71" s="8">
        <v>388</v>
      </c>
      <c r="F71" s="8"/>
      <c r="G71" s="8">
        <v>462.89</v>
      </c>
      <c r="H71" s="8">
        <f t="shared" si="3"/>
        <v>1620115</v>
      </c>
      <c r="I71" s="8">
        <v>20000</v>
      </c>
      <c r="J71" t="s">
        <v>84</v>
      </c>
      <c r="K71" s="12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</row>
    <row r="72" spans="1:18">
      <c r="A72" t="s">
        <v>93</v>
      </c>
      <c r="B72" s="6">
        <v>45980.791956018496</v>
      </c>
      <c r="C72" s="7" t="s">
        <v>19</v>
      </c>
      <c r="D72" s="8">
        <f t="shared" si="2"/>
        <v>87</v>
      </c>
      <c r="E72" s="8">
        <v>87</v>
      </c>
      <c r="F72" s="8"/>
      <c r="G72" s="8">
        <v>459.38</v>
      </c>
      <c r="H72" s="8">
        <f t="shared" si="3"/>
        <v>1607830</v>
      </c>
      <c r="I72" s="8">
        <v>20000</v>
      </c>
      <c r="J72" t="s">
        <v>84</v>
      </c>
      <c r="K72" s="12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</row>
    <row r="73" spans="1:18">
      <c r="A73" t="s">
        <v>94</v>
      </c>
      <c r="B73" s="6">
        <v>46026.626747685201</v>
      </c>
      <c r="C73" s="7" t="s">
        <v>19</v>
      </c>
      <c r="D73" s="8">
        <f t="shared" si="2"/>
        <v>226</v>
      </c>
      <c r="E73" s="8">
        <v>226</v>
      </c>
      <c r="F73" s="8"/>
      <c r="G73" s="8">
        <v>458.04</v>
      </c>
      <c r="H73" s="8">
        <f t="shared" si="3"/>
        <v>1603140</v>
      </c>
      <c r="I73" s="8">
        <v>20000</v>
      </c>
      <c r="J73" t="s">
        <v>84</v>
      </c>
      <c r="K73" s="12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</row>
    <row r="74" spans="1:18">
      <c r="A74" t="s">
        <v>95</v>
      </c>
      <c r="B74" s="6">
        <v>46063.822361111103</v>
      </c>
      <c r="C74" s="7" t="s">
        <v>19</v>
      </c>
      <c r="D74" s="8">
        <f t="shared" si="2"/>
        <v>46</v>
      </c>
      <c r="E74" s="8">
        <v>46</v>
      </c>
      <c r="F74" s="8"/>
      <c r="G74" s="8">
        <v>424.54</v>
      </c>
      <c r="H74" s="8">
        <f t="shared" si="3"/>
        <v>1485890</v>
      </c>
      <c r="I74" s="8">
        <v>20000</v>
      </c>
      <c r="J74" t="s">
        <v>84</v>
      </c>
      <c r="K74" s="12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</row>
    <row r="75" spans="1:18">
      <c r="A75" t="s">
        <v>96</v>
      </c>
      <c r="B75" s="6">
        <v>46053.691666666702</v>
      </c>
      <c r="C75" s="7" t="s">
        <v>19</v>
      </c>
      <c r="D75" s="8">
        <f t="shared" si="2"/>
        <v>328</v>
      </c>
      <c r="E75" s="8">
        <v>328</v>
      </c>
      <c r="F75" s="8"/>
      <c r="G75" s="8">
        <v>422.13</v>
      </c>
      <c r="H75" s="8">
        <f t="shared" si="3"/>
        <v>1477455</v>
      </c>
      <c r="I75" s="8">
        <v>20000</v>
      </c>
      <c r="J75" t="s">
        <v>84</v>
      </c>
      <c r="K75" s="12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</row>
    <row r="76" spans="1:18">
      <c r="A76" t="s">
        <v>97</v>
      </c>
      <c r="B76" s="6">
        <v>46054.8192361111</v>
      </c>
      <c r="C76" s="7" t="s">
        <v>19</v>
      </c>
      <c r="D76" s="8">
        <f t="shared" si="2"/>
        <v>492</v>
      </c>
      <c r="E76" s="8">
        <v>492</v>
      </c>
      <c r="F76" s="8"/>
      <c r="G76" s="8">
        <v>419.15</v>
      </c>
      <c r="H76" s="8">
        <f t="shared" si="3"/>
        <v>1467025</v>
      </c>
      <c r="I76" s="8">
        <v>20000</v>
      </c>
      <c r="J76" t="s">
        <v>84</v>
      </c>
      <c r="K76" s="12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</row>
    <row r="77" spans="1:18">
      <c r="A77" t="s">
        <v>98</v>
      </c>
      <c r="B77" s="6">
        <v>46030.876331018502</v>
      </c>
      <c r="C77" s="7" t="s">
        <v>19</v>
      </c>
      <c r="D77" s="8">
        <f t="shared" si="2"/>
        <v>136</v>
      </c>
      <c r="E77" s="8">
        <v>24</v>
      </c>
      <c r="F77" s="8">
        <v>112</v>
      </c>
      <c r="G77" s="8">
        <v>417.01</v>
      </c>
      <c r="H77" s="8">
        <f t="shared" si="3"/>
        <v>1459535</v>
      </c>
      <c r="I77" s="8">
        <v>20000</v>
      </c>
      <c r="J77" t="s">
        <v>84</v>
      </c>
      <c r="K77" s="12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</row>
    <row r="78" spans="1:18">
      <c r="A78" t="s">
        <v>99</v>
      </c>
      <c r="B78" s="6">
        <v>46004.3261458333</v>
      </c>
      <c r="C78" s="7" t="s">
        <v>19</v>
      </c>
      <c r="D78" s="8">
        <f t="shared" si="2"/>
        <v>113</v>
      </c>
      <c r="E78" s="8">
        <v>113</v>
      </c>
      <c r="F78" s="8"/>
      <c r="G78" s="8">
        <v>416.24</v>
      </c>
      <c r="H78" s="8">
        <f t="shared" si="3"/>
        <v>1456840</v>
      </c>
      <c r="I78" s="8">
        <v>20000</v>
      </c>
      <c r="J78" t="s">
        <v>84</v>
      </c>
      <c r="K78" s="12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</row>
    <row r="79" spans="1:18">
      <c r="A79" t="s">
        <v>100</v>
      </c>
      <c r="B79" s="6">
        <v>46059.608356481498</v>
      </c>
      <c r="C79" s="7" t="s">
        <v>19</v>
      </c>
      <c r="D79" s="8">
        <f t="shared" si="2"/>
        <v>138</v>
      </c>
      <c r="E79" s="8">
        <v>138</v>
      </c>
      <c r="F79" s="8"/>
      <c r="G79" s="8">
        <v>411.73</v>
      </c>
      <c r="H79" s="8">
        <f t="shared" si="3"/>
        <v>1441055</v>
      </c>
      <c r="I79" s="8">
        <v>20000</v>
      </c>
      <c r="J79" t="s">
        <v>84</v>
      </c>
      <c r="K79" s="12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</row>
    <row r="80" spans="1:18">
      <c r="A80" t="s">
        <v>101</v>
      </c>
      <c r="B80" s="6">
        <v>46028.6265277778</v>
      </c>
      <c r="C80" s="7" t="s">
        <v>19</v>
      </c>
      <c r="D80" s="8">
        <f t="shared" si="2"/>
        <v>179</v>
      </c>
      <c r="E80" s="8">
        <v>179</v>
      </c>
      <c r="F80" s="8"/>
      <c r="G80" s="8">
        <v>408.51</v>
      </c>
      <c r="H80" s="8">
        <f t="shared" si="3"/>
        <v>1429785</v>
      </c>
      <c r="I80" s="8">
        <v>20000</v>
      </c>
      <c r="J80" t="s">
        <v>84</v>
      </c>
      <c r="K80" s="12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</row>
    <row r="81" spans="1:18">
      <c r="A81" t="s">
        <v>102</v>
      </c>
      <c r="B81" s="6">
        <v>46065.780474537001</v>
      </c>
      <c r="C81" s="7" t="s">
        <v>19</v>
      </c>
      <c r="D81" s="8">
        <f t="shared" si="2"/>
        <v>47</v>
      </c>
      <c r="E81" s="8">
        <v>47</v>
      </c>
      <c r="F81" s="8"/>
      <c r="G81" s="8">
        <v>408.02</v>
      </c>
      <c r="H81" s="8">
        <f t="shared" si="3"/>
        <v>1428070</v>
      </c>
      <c r="I81" s="8">
        <v>20000</v>
      </c>
      <c r="J81" t="s">
        <v>84</v>
      </c>
      <c r="K81" s="12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</row>
    <row r="82" spans="1:18">
      <c r="A82" t="s">
        <v>103</v>
      </c>
      <c r="B82" s="6">
        <v>46034.929560185199</v>
      </c>
      <c r="C82" s="7" t="s">
        <v>19</v>
      </c>
      <c r="D82" s="8">
        <f t="shared" si="2"/>
        <v>128</v>
      </c>
      <c r="E82" s="8">
        <v>128</v>
      </c>
      <c r="F82" s="8"/>
      <c r="G82" s="8">
        <v>407.6</v>
      </c>
      <c r="H82" s="8">
        <f t="shared" si="3"/>
        <v>1426600</v>
      </c>
      <c r="I82" s="8">
        <v>20000</v>
      </c>
      <c r="J82" t="s">
        <v>84</v>
      </c>
      <c r="K82" s="12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</row>
    <row r="83" spans="1:18">
      <c r="A83" t="s">
        <v>104</v>
      </c>
      <c r="B83" s="6">
        <v>45983.729421296302</v>
      </c>
      <c r="C83" s="7" t="s">
        <v>19</v>
      </c>
      <c r="D83" s="8">
        <f t="shared" si="2"/>
        <v>73</v>
      </c>
      <c r="E83" s="8">
        <v>73</v>
      </c>
      <c r="F83" s="8"/>
      <c r="G83" s="8">
        <v>398.2</v>
      </c>
      <c r="H83" s="8">
        <f t="shared" si="3"/>
        <v>1393700</v>
      </c>
      <c r="I83" s="8">
        <v>20000</v>
      </c>
      <c r="J83" t="s">
        <v>84</v>
      </c>
      <c r="K83" s="12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</row>
    <row r="84" spans="1:18">
      <c r="A84" t="s">
        <v>105</v>
      </c>
      <c r="B84" s="6">
        <v>46060.820752314801</v>
      </c>
      <c r="C84" s="7" t="s">
        <v>19</v>
      </c>
      <c r="D84" s="8">
        <f t="shared" si="2"/>
        <v>166</v>
      </c>
      <c r="E84" s="8">
        <v>166</v>
      </c>
      <c r="F84" s="8"/>
      <c r="G84" s="8">
        <v>397.9</v>
      </c>
      <c r="H84" s="8">
        <f t="shared" si="3"/>
        <v>1392650</v>
      </c>
      <c r="I84" s="8">
        <v>20000</v>
      </c>
      <c r="J84" t="s">
        <v>84</v>
      </c>
      <c r="K84" s="12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</row>
    <row r="85" spans="1:18">
      <c r="A85" t="s">
        <v>106</v>
      </c>
      <c r="B85" s="6">
        <v>46068.784618055601</v>
      </c>
      <c r="C85" s="7" t="s">
        <v>19</v>
      </c>
      <c r="D85" s="8">
        <f t="shared" si="2"/>
        <v>147</v>
      </c>
      <c r="E85" s="8">
        <v>147</v>
      </c>
      <c r="F85" s="8"/>
      <c r="G85" s="8">
        <v>394.07</v>
      </c>
      <c r="H85" s="8">
        <f t="shared" si="3"/>
        <v>1379245</v>
      </c>
      <c r="I85" s="8">
        <v>20000</v>
      </c>
      <c r="J85" t="s">
        <v>84</v>
      </c>
      <c r="K85" s="12">
        <v>1</v>
      </c>
      <c r="L85" s="11">
        <v>7.73</v>
      </c>
      <c r="M85" s="11">
        <v>9.52</v>
      </c>
      <c r="N85" s="11">
        <v>9.52</v>
      </c>
      <c r="O85" s="11">
        <v>9.52</v>
      </c>
      <c r="P85" s="11">
        <v>0</v>
      </c>
      <c r="Q85" s="11">
        <v>9.52</v>
      </c>
      <c r="R85" s="11">
        <v>0</v>
      </c>
    </row>
    <row r="86" spans="1:18">
      <c r="A86" t="s">
        <v>107</v>
      </c>
      <c r="B86" s="6">
        <v>46046.548460648097</v>
      </c>
      <c r="C86" s="7" t="s">
        <v>19</v>
      </c>
      <c r="D86" s="8">
        <f t="shared" si="2"/>
        <v>389</v>
      </c>
      <c r="E86" s="8">
        <v>143</v>
      </c>
      <c r="F86" s="8">
        <v>246</v>
      </c>
      <c r="G86" s="8">
        <v>384.41</v>
      </c>
      <c r="H86" s="8">
        <f t="shared" si="3"/>
        <v>1345435</v>
      </c>
      <c r="I86" s="8">
        <v>20000</v>
      </c>
      <c r="J86" t="s">
        <v>84</v>
      </c>
      <c r="K86" s="12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</row>
    <row r="87" spans="1:18">
      <c r="A87" t="s">
        <v>108</v>
      </c>
      <c r="B87" s="6">
        <v>46060.8679513889</v>
      </c>
      <c r="C87" s="7" t="s">
        <v>19</v>
      </c>
      <c r="D87" s="8">
        <f t="shared" si="2"/>
        <v>111</v>
      </c>
      <c r="E87" s="8">
        <v>111</v>
      </c>
      <c r="F87" s="8"/>
      <c r="G87" s="8">
        <v>383.4</v>
      </c>
      <c r="H87" s="8">
        <f t="shared" si="3"/>
        <v>1341900</v>
      </c>
      <c r="I87" s="8">
        <v>20000</v>
      </c>
      <c r="J87" t="s">
        <v>84</v>
      </c>
      <c r="K87" s="12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</row>
    <row r="88" spans="1:18">
      <c r="A88" t="s">
        <v>109</v>
      </c>
      <c r="B88" s="6">
        <v>46035.280949074098</v>
      </c>
      <c r="C88" s="7" t="s">
        <v>19</v>
      </c>
      <c r="D88" s="8">
        <f t="shared" si="2"/>
        <v>132</v>
      </c>
      <c r="E88" s="8">
        <v>132</v>
      </c>
      <c r="F88" s="8"/>
      <c r="G88" s="8">
        <v>382.35</v>
      </c>
      <c r="H88" s="8">
        <f t="shared" si="3"/>
        <v>1338225</v>
      </c>
      <c r="I88" s="8">
        <v>20000</v>
      </c>
      <c r="J88" t="s">
        <v>84</v>
      </c>
      <c r="K88" s="12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</row>
    <row r="89" spans="1:18">
      <c r="A89" t="s">
        <v>110</v>
      </c>
      <c r="B89" s="6">
        <v>46049.573715277802</v>
      </c>
      <c r="C89" s="7" t="s">
        <v>19</v>
      </c>
      <c r="D89" s="8">
        <f t="shared" si="2"/>
        <v>35</v>
      </c>
      <c r="E89" s="8">
        <v>35</v>
      </c>
      <c r="F89" s="8"/>
      <c r="G89" s="8">
        <v>361.79</v>
      </c>
      <c r="H89" s="8">
        <f t="shared" si="3"/>
        <v>1266265</v>
      </c>
      <c r="I89" s="8">
        <v>20000</v>
      </c>
      <c r="J89" t="s">
        <v>84</v>
      </c>
      <c r="K89" s="12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</row>
    <row r="90" spans="1:18">
      <c r="A90" t="s">
        <v>111</v>
      </c>
      <c r="B90" s="6">
        <v>46060.940891203703</v>
      </c>
      <c r="C90" s="7" t="s">
        <v>19</v>
      </c>
      <c r="D90" s="8">
        <f t="shared" si="2"/>
        <v>150</v>
      </c>
      <c r="E90" s="8">
        <v>150</v>
      </c>
      <c r="F90" s="8"/>
      <c r="G90" s="8">
        <v>360.82</v>
      </c>
      <c r="H90" s="8">
        <f t="shared" si="3"/>
        <v>1262870</v>
      </c>
      <c r="I90" s="8">
        <v>20000</v>
      </c>
      <c r="J90" t="s">
        <v>84</v>
      </c>
      <c r="K90" s="12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</row>
    <row r="91" spans="1:18">
      <c r="A91" t="s">
        <v>112</v>
      </c>
      <c r="B91" s="6">
        <v>46024.3666435185</v>
      </c>
      <c r="C91" s="7" t="s">
        <v>19</v>
      </c>
      <c r="D91" s="8">
        <f t="shared" si="2"/>
        <v>444</v>
      </c>
      <c r="E91" s="8">
        <v>82</v>
      </c>
      <c r="F91" s="8">
        <v>362</v>
      </c>
      <c r="G91" s="8">
        <v>355.67</v>
      </c>
      <c r="H91" s="8">
        <f t="shared" si="3"/>
        <v>1244845</v>
      </c>
      <c r="I91" s="8">
        <v>20000</v>
      </c>
      <c r="J91" t="s">
        <v>84</v>
      </c>
      <c r="K91" s="12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</row>
    <row r="92" spans="1:18">
      <c r="A92" t="s">
        <v>113</v>
      </c>
      <c r="B92" s="6">
        <v>46020.665393518502</v>
      </c>
      <c r="C92" s="7" t="s">
        <v>19</v>
      </c>
      <c r="D92" s="8">
        <f t="shared" si="2"/>
        <v>106</v>
      </c>
      <c r="E92" s="8">
        <v>106</v>
      </c>
      <c r="F92" s="8"/>
      <c r="G92" s="8">
        <v>347.5</v>
      </c>
      <c r="H92" s="8">
        <f t="shared" si="3"/>
        <v>1216250</v>
      </c>
      <c r="I92" s="8">
        <v>20000</v>
      </c>
      <c r="J92" t="s">
        <v>84</v>
      </c>
      <c r="K92" s="12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</row>
    <row r="93" spans="1:18">
      <c r="A93" t="s">
        <v>114</v>
      </c>
      <c r="B93" s="6">
        <v>46024.022962962998</v>
      </c>
      <c r="C93" s="7" t="s">
        <v>19</v>
      </c>
      <c r="D93" s="8">
        <f t="shared" si="2"/>
        <v>73</v>
      </c>
      <c r="E93" s="8">
        <v>73</v>
      </c>
      <c r="F93" s="8"/>
      <c r="G93" s="8">
        <v>346.38</v>
      </c>
      <c r="H93" s="8">
        <f t="shared" si="3"/>
        <v>1212330</v>
      </c>
      <c r="I93" s="8">
        <v>20000</v>
      </c>
      <c r="J93" t="s">
        <v>84</v>
      </c>
      <c r="K93" s="12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</row>
    <row r="94" spans="1:18">
      <c r="A94" t="s">
        <v>115</v>
      </c>
      <c r="B94" s="6">
        <v>46063.008136574099</v>
      </c>
      <c r="C94" s="7" t="s">
        <v>19</v>
      </c>
      <c r="D94" s="8">
        <f t="shared" si="2"/>
        <v>162</v>
      </c>
      <c r="E94" s="8">
        <v>162</v>
      </c>
      <c r="F94" s="8"/>
      <c r="G94" s="8">
        <v>343.04</v>
      </c>
      <c r="H94" s="8">
        <f t="shared" si="3"/>
        <v>1200640</v>
      </c>
      <c r="I94" s="8">
        <v>20000</v>
      </c>
      <c r="J94" t="s">
        <v>84</v>
      </c>
      <c r="K94" s="12">
        <v>1</v>
      </c>
      <c r="L94" s="11">
        <v>1.29</v>
      </c>
      <c r="M94" s="11">
        <v>2.72</v>
      </c>
      <c r="N94" s="11">
        <v>2.72</v>
      </c>
      <c r="O94" s="11">
        <v>2.72</v>
      </c>
      <c r="P94" s="11">
        <v>0</v>
      </c>
      <c r="Q94" s="11">
        <v>2.72</v>
      </c>
      <c r="R94" s="11">
        <v>0</v>
      </c>
    </row>
    <row r="95" spans="1:18">
      <c r="A95" t="s">
        <v>116</v>
      </c>
      <c r="B95" s="6">
        <v>46052.853414351899</v>
      </c>
      <c r="C95" s="7" t="s">
        <v>19</v>
      </c>
      <c r="D95" s="8">
        <f t="shared" si="2"/>
        <v>125</v>
      </c>
      <c r="E95" s="8">
        <v>21</v>
      </c>
      <c r="F95" s="8">
        <v>104</v>
      </c>
      <c r="G95" s="8">
        <v>342.04</v>
      </c>
      <c r="H95" s="8">
        <f t="shared" si="3"/>
        <v>1197140</v>
      </c>
      <c r="I95" s="8">
        <v>20000</v>
      </c>
      <c r="J95" t="s">
        <v>84</v>
      </c>
      <c r="K95" s="12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</row>
    <row r="96" spans="1:18">
      <c r="A96" t="s">
        <v>117</v>
      </c>
      <c r="B96" s="6">
        <v>46010.616122685198</v>
      </c>
      <c r="C96" s="7" t="s">
        <v>19</v>
      </c>
      <c r="D96" s="8">
        <f t="shared" si="2"/>
        <v>199</v>
      </c>
      <c r="E96" s="8">
        <v>199</v>
      </c>
      <c r="F96" s="8"/>
      <c r="G96" s="8">
        <v>341.15</v>
      </c>
      <c r="H96" s="8">
        <f t="shared" si="3"/>
        <v>1194025</v>
      </c>
      <c r="I96" s="8">
        <v>20000</v>
      </c>
      <c r="J96" t="s">
        <v>84</v>
      </c>
      <c r="K96" s="12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</row>
    <row r="97" spans="1:18">
      <c r="A97" t="s">
        <v>118</v>
      </c>
      <c r="B97" s="6">
        <v>46048.651990740698</v>
      </c>
      <c r="C97" s="7" t="s">
        <v>19</v>
      </c>
      <c r="D97" s="8">
        <f t="shared" si="2"/>
        <v>349</v>
      </c>
      <c r="E97" s="8">
        <v>349</v>
      </c>
      <c r="F97" s="8"/>
      <c r="G97" s="8">
        <v>336.48</v>
      </c>
      <c r="H97" s="8">
        <f t="shared" si="3"/>
        <v>1177680</v>
      </c>
      <c r="I97" s="8">
        <v>20000</v>
      </c>
      <c r="J97" t="s">
        <v>84</v>
      </c>
      <c r="K97" s="12">
        <v>0</v>
      </c>
      <c r="L97" s="11">
        <v>0</v>
      </c>
      <c r="M97" s="11">
        <v>0.02</v>
      </c>
      <c r="N97" s="11">
        <v>0.02</v>
      </c>
      <c r="O97" s="11">
        <v>0.02</v>
      </c>
      <c r="P97" s="11">
        <v>0</v>
      </c>
      <c r="Q97" s="11">
        <v>0.02</v>
      </c>
      <c r="R97" s="11">
        <v>0</v>
      </c>
    </row>
    <row r="98" spans="1:18">
      <c r="A98" t="s">
        <v>119</v>
      </c>
      <c r="B98" s="6">
        <v>46068.421956018501</v>
      </c>
      <c r="C98" s="7" t="s">
        <v>19</v>
      </c>
      <c r="D98" s="8">
        <f t="shared" si="2"/>
        <v>162</v>
      </c>
      <c r="E98" s="8">
        <v>162</v>
      </c>
      <c r="F98" s="8"/>
      <c r="G98" s="8">
        <v>334.28</v>
      </c>
      <c r="H98" s="8">
        <f t="shared" si="3"/>
        <v>1169980</v>
      </c>
      <c r="I98" s="8">
        <v>20000</v>
      </c>
      <c r="J98" t="s">
        <v>84</v>
      </c>
      <c r="K98" s="12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</row>
    <row r="99" spans="1:18">
      <c r="A99" t="s">
        <v>120</v>
      </c>
      <c r="B99" s="6">
        <v>46029.706192129597</v>
      </c>
      <c r="C99" s="7" t="s">
        <v>19</v>
      </c>
      <c r="D99" s="8">
        <f t="shared" si="2"/>
        <v>23</v>
      </c>
      <c r="E99" s="8">
        <v>23</v>
      </c>
      <c r="F99" s="8"/>
      <c r="G99" s="8">
        <v>331.7</v>
      </c>
      <c r="H99" s="8">
        <f t="shared" si="3"/>
        <v>1160950</v>
      </c>
      <c r="I99" s="8">
        <v>20000</v>
      </c>
      <c r="J99" t="s">
        <v>84</v>
      </c>
      <c r="K99" s="12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</row>
    <row r="100" spans="1:18">
      <c r="A100" t="s">
        <v>121</v>
      </c>
      <c r="B100" s="6">
        <v>46049.726932870399</v>
      </c>
      <c r="C100" s="7" t="s">
        <v>19</v>
      </c>
      <c r="D100" s="8">
        <f t="shared" si="2"/>
        <v>121</v>
      </c>
      <c r="E100" s="8">
        <v>121</v>
      </c>
      <c r="F100" s="8"/>
      <c r="G100" s="8">
        <v>326.02999999999997</v>
      </c>
      <c r="H100" s="8">
        <f t="shared" si="3"/>
        <v>1141105</v>
      </c>
      <c r="I100" s="8">
        <v>20000</v>
      </c>
      <c r="J100" t="s">
        <v>84</v>
      </c>
      <c r="K100" s="12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</row>
    <row r="101" spans="1:18">
      <c r="A101" t="s">
        <v>122</v>
      </c>
      <c r="B101" s="6">
        <v>45997.441354166702</v>
      </c>
      <c r="C101" s="7" t="s">
        <v>19</v>
      </c>
      <c r="D101" s="8">
        <f t="shared" si="2"/>
        <v>70</v>
      </c>
      <c r="E101" s="8">
        <v>70</v>
      </c>
      <c r="F101" s="8"/>
      <c r="G101" s="8">
        <v>322.29000000000002</v>
      </c>
      <c r="H101" s="8">
        <f t="shared" si="3"/>
        <v>1128015</v>
      </c>
      <c r="I101" s="8">
        <v>20000</v>
      </c>
      <c r="J101" t="s">
        <v>84</v>
      </c>
      <c r="K101" s="12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</row>
    <row r="102" spans="1:18">
      <c r="A102" t="s">
        <v>123</v>
      </c>
      <c r="B102" s="6">
        <v>46061.727766203701</v>
      </c>
      <c r="C102" s="7" t="s">
        <v>19</v>
      </c>
      <c r="D102" s="8">
        <f t="shared" si="2"/>
        <v>101</v>
      </c>
      <c r="E102" s="8">
        <v>101</v>
      </c>
      <c r="F102" s="8"/>
      <c r="G102" s="8">
        <v>320.33999999999997</v>
      </c>
      <c r="H102" s="8">
        <f t="shared" si="3"/>
        <v>1121190</v>
      </c>
      <c r="I102" s="8">
        <v>20000</v>
      </c>
      <c r="J102" t="s">
        <v>84</v>
      </c>
      <c r="K102" s="12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</row>
    <row r="103" spans="1:18">
      <c r="A103" t="s">
        <v>124</v>
      </c>
      <c r="B103" s="6">
        <v>46059.8523726852</v>
      </c>
      <c r="C103" s="7" t="s">
        <v>19</v>
      </c>
      <c r="D103" s="8">
        <f t="shared" si="2"/>
        <v>94</v>
      </c>
      <c r="E103" s="8">
        <v>94</v>
      </c>
      <c r="F103" s="8"/>
      <c r="G103" s="8">
        <v>320.10000000000002</v>
      </c>
      <c r="H103" s="8">
        <f t="shared" si="3"/>
        <v>1120350</v>
      </c>
      <c r="I103" s="8">
        <v>20000</v>
      </c>
      <c r="J103" t="s">
        <v>84</v>
      </c>
      <c r="K103" s="12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</row>
    <row r="104" spans="1:18">
      <c r="A104" t="s">
        <v>125</v>
      </c>
      <c r="B104" s="6">
        <v>45995.9448611111</v>
      </c>
      <c r="C104" s="7" t="s">
        <v>19</v>
      </c>
      <c r="D104" s="8">
        <f t="shared" si="2"/>
        <v>116</v>
      </c>
      <c r="E104" s="8">
        <v>116</v>
      </c>
      <c r="F104" s="8"/>
      <c r="G104" s="8">
        <v>317.45</v>
      </c>
      <c r="H104" s="8">
        <f t="shared" si="3"/>
        <v>1111075</v>
      </c>
      <c r="I104" s="8">
        <v>20000</v>
      </c>
      <c r="J104" t="s">
        <v>84</v>
      </c>
      <c r="K104" s="12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</row>
    <row r="105" spans="1:18">
      <c r="A105" t="s">
        <v>126</v>
      </c>
      <c r="B105" s="6">
        <v>46042.785601851901</v>
      </c>
      <c r="C105" s="7" t="s">
        <v>19</v>
      </c>
      <c r="D105" s="8">
        <f t="shared" si="2"/>
        <v>853</v>
      </c>
      <c r="E105" s="8">
        <v>853</v>
      </c>
      <c r="F105" s="8"/>
      <c r="G105" s="8">
        <v>308.51</v>
      </c>
      <c r="H105" s="8">
        <f t="shared" si="3"/>
        <v>1079785</v>
      </c>
      <c r="I105" s="8">
        <v>20000</v>
      </c>
      <c r="J105" t="s">
        <v>84</v>
      </c>
      <c r="K105" s="12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</row>
    <row r="106" spans="1:18">
      <c r="A106" t="s">
        <v>127</v>
      </c>
      <c r="B106" s="6">
        <v>46028.541087963</v>
      </c>
      <c r="C106" s="7" t="s">
        <v>19</v>
      </c>
      <c r="D106" s="8">
        <f t="shared" si="2"/>
        <v>124</v>
      </c>
      <c r="E106" s="8">
        <v>25</v>
      </c>
      <c r="F106" s="8">
        <v>99</v>
      </c>
      <c r="G106" s="8">
        <v>304.79000000000002</v>
      </c>
      <c r="H106" s="8">
        <f t="shared" si="3"/>
        <v>1066765</v>
      </c>
      <c r="I106" s="8">
        <v>20000</v>
      </c>
      <c r="J106" t="s">
        <v>84</v>
      </c>
      <c r="K106" s="12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</row>
    <row r="107" spans="1:18">
      <c r="A107" t="s">
        <v>128</v>
      </c>
      <c r="B107" s="6">
        <v>46064.644976851901</v>
      </c>
      <c r="C107" s="7" t="s">
        <v>19</v>
      </c>
      <c r="D107" s="8">
        <f t="shared" si="2"/>
        <v>167</v>
      </c>
      <c r="E107" s="8">
        <v>167</v>
      </c>
      <c r="F107" s="8"/>
      <c r="G107" s="8">
        <v>297.29000000000002</v>
      </c>
      <c r="H107" s="8">
        <f t="shared" si="3"/>
        <v>1040515</v>
      </c>
      <c r="I107" s="8">
        <v>20000</v>
      </c>
      <c r="J107" t="s">
        <v>84</v>
      </c>
      <c r="K107" s="12">
        <v>1</v>
      </c>
      <c r="L107" s="11">
        <v>5.15</v>
      </c>
      <c r="M107" s="11">
        <v>5.15</v>
      </c>
      <c r="N107" s="11">
        <v>5.15</v>
      </c>
      <c r="O107" s="11">
        <v>5.15</v>
      </c>
      <c r="P107" s="11">
        <v>0</v>
      </c>
      <c r="Q107" s="11">
        <v>5.15</v>
      </c>
      <c r="R107" s="11">
        <v>0</v>
      </c>
    </row>
    <row r="108" spans="1:18">
      <c r="A108" t="s">
        <v>129</v>
      </c>
      <c r="B108" s="6">
        <v>46030.824456018498</v>
      </c>
      <c r="C108" s="7" t="s">
        <v>19</v>
      </c>
      <c r="D108" s="8">
        <f t="shared" si="2"/>
        <v>90</v>
      </c>
      <c r="E108" s="8">
        <v>90</v>
      </c>
      <c r="F108" s="8"/>
      <c r="G108" s="8">
        <v>296.44</v>
      </c>
      <c r="H108" s="8">
        <f t="shared" si="3"/>
        <v>1037540</v>
      </c>
      <c r="I108" s="8">
        <v>20000</v>
      </c>
      <c r="J108" t="s">
        <v>84</v>
      </c>
      <c r="K108" s="12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</row>
    <row r="109" spans="1:18">
      <c r="A109" t="s">
        <v>130</v>
      </c>
      <c r="B109" s="6">
        <v>46050.614386574103</v>
      </c>
      <c r="C109" s="7" t="s">
        <v>19</v>
      </c>
      <c r="D109" s="8">
        <f t="shared" si="2"/>
        <v>48</v>
      </c>
      <c r="E109" s="8">
        <v>48</v>
      </c>
      <c r="F109" s="8"/>
      <c r="G109" s="8">
        <v>296.16000000000003</v>
      </c>
      <c r="H109" s="8">
        <f t="shared" si="3"/>
        <v>1036560</v>
      </c>
      <c r="I109" s="8">
        <v>20000</v>
      </c>
      <c r="J109" t="s">
        <v>84</v>
      </c>
      <c r="K109" s="12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</row>
    <row r="110" spans="1:18">
      <c r="A110" t="s">
        <v>131</v>
      </c>
      <c r="B110" s="6">
        <v>46048.898090277798</v>
      </c>
      <c r="C110" s="7" t="s">
        <v>19</v>
      </c>
      <c r="D110" s="8">
        <f t="shared" si="2"/>
        <v>112</v>
      </c>
      <c r="E110" s="8">
        <v>112</v>
      </c>
      <c r="F110" s="8"/>
      <c r="G110" s="8">
        <v>293.17</v>
      </c>
      <c r="H110" s="8">
        <f t="shared" si="3"/>
        <v>1026095</v>
      </c>
      <c r="I110" s="8">
        <v>20000</v>
      </c>
      <c r="J110" t="s">
        <v>84</v>
      </c>
      <c r="K110" s="12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</row>
    <row r="111" spans="1:18">
      <c r="A111" t="s">
        <v>132</v>
      </c>
      <c r="B111" s="6">
        <v>46054.712337962999</v>
      </c>
      <c r="C111" s="7" t="s">
        <v>19</v>
      </c>
      <c r="D111" s="8">
        <f t="shared" si="2"/>
        <v>233</v>
      </c>
      <c r="E111" s="8">
        <v>233</v>
      </c>
      <c r="F111" s="8"/>
      <c r="G111" s="8">
        <v>290.85000000000002</v>
      </c>
      <c r="H111" s="8">
        <f t="shared" si="3"/>
        <v>1017975</v>
      </c>
      <c r="I111" s="8">
        <v>20000</v>
      </c>
      <c r="J111" t="s">
        <v>84</v>
      </c>
      <c r="K111" s="12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</row>
    <row r="112" spans="1:18">
      <c r="A112" t="s">
        <v>133</v>
      </c>
      <c r="B112" s="6">
        <v>46030.963310185201</v>
      </c>
      <c r="C112" s="7" t="s">
        <v>19</v>
      </c>
      <c r="D112" s="8">
        <f t="shared" si="2"/>
        <v>121</v>
      </c>
      <c r="E112" s="8">
        <v>121</v>
      </c>
      <c r="F112" s="8"/>
      <c r="G112" s="8">
        <v>289.43</v>
      </c>
      <c r="H112" s="8">
        <f t="shared" si="3"/>
        <v>1013005</v>
      </c>
      <c r="I112" s="8">
        <v>20000</v>
      </c>
      <c r="J112" t="s">
        <v>84</v>
      </c>
      <c r="K112" s="12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</row>
    <row r="113" spans="1:18">
      <c r="A113" t="s">
        <v>134</v>
      </c>
      <c r="B113" s="6">
        <v>46064.595127314802</v>
      </c>
      <c r="C113" s="7" t="s">
        <v>19</v>
      </c>
      <c r="D113" s="8">
        <f t="shared" si="2"/>
        <v>75</v>
      </c>
      <c r="E113" s="8">
        <v>75</v>
      </c>
      <c r="F113" s="8"/>
      <c r="G113" s="8">
        <v>288.99</v>
      </c>
      <c r="H113" s="8">
        <f t="shared" si="3"/>
        <v>1011465</v>
      </c>
      <c r="I113" s="8">
        <v>20000</v>
      </c>
      <c r="J113" t="s">
        <v>84</v>
      </c>
      <c r="K113" s="12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</row>
    <row r="114" spans="1:18">
      <c r="A114" t="s">
        <v>135</v>
      </c>
      <c r="B114" s="6">
        <v>46025.922245370399</v>
      </c>
      <c r="C114" s="7" t="s">
        <v>19</v>
      </c>
      <c r="D114" s="8">
        <f t="shared" si="2"/>
        <v>208</v>
      </c>
      <c r="E114" s="8">
        <v>111</v>
      </c>
      <c r="F114" s="8">
        <v>97</v>
      </c>
      <c r="G114" s="8">
        <v>288.92</v>
      </c>
      <c r="H114" s="8">
        <f t="shared" si="3"/>
        <v>1011220</v>
      </c>
      <c r="I114" s="8">
        <v>20000</v>
      </c>
      <c r="J114" t="s">
        <v>84</v>
      </c>
      <c r="K114" s="12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</row>
    <row r="115" spans="1:18">
      <c r="A115" t="s">
        <v>136</v>
      </c>
      <c r="B115" s="6">
        <v>46000.899328703701</v>
      </c>
      <c r="C115" s="7" t="s">
        <v>19</v>
      </c>
      <c r="D115" s="8">
        <f t="shared" si="2"/>
        <v>156</v>
      </c>
      <c r="E115" s="8">
        <v>156</v>
      </c>
      <c r="F115" s="8"/>
      <c r="G115" s="8">
        <v>286.60000000000002</v>
      </c>
      <c r="H115" s="8">
        <f t="shared" si="3"/>
        <v>1003100</v>
      </c>
      <c r="I115" s="8">
        <v>20000</v>
      </c>
      <c r="J115" t="s">
        <v>84</v>
      </c>
      <c r="K115" s="12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</row>
    <row r="116" spans="1:18">
      <c r="A116" t="s">
        <v>137</v>
      </c>
      <c r="B116" s="6">
        <v>46027.8758564815</v>
      </c>
      <c r="C116" s="7" t="s">
        <v>19</v>
      </c>
      <c r="D116" s="8">
        <f t="shared" si="2"/>
        <v>68</v>
      </c>
      <c r="E116" s="8">
        <v>68</v>
      </c>
      <c r="F116" s="8"/>
      <c r="G116" s="8">
        <v>286.33999999999997</v>
      </c>
      <c r="H116" s="8">
        <f t="shared" si="3"/>
        <v>1002190</v>
      </c>
      <c r="I116" s="8">
        <v>20000</v>
      </c>
      <c r="J116" t="s">
        <v>84</v>
      </c>
      <c r="K116" s="12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</row>
    <row r="117" spans="1:18">
      <c r="A117" t="s">
        <v>138</v>
      </c>
      <c r="B117" s="6">
        <v>46063.885439814803</v>
      </c>
      <c r="C117" s="7" t="s">
        <v>19</v>
      </c>
      <c r="D117" s="8">
        <f t="shared" si="2"/>
        <v>76</v>
      </c>
      <c r="E117" s="8">
        <v>76</v>
      </c>
      <c r="F117" s="8"/>
      <c r="G117" s="8">
        <v>280.31</v>
      </c>
      <c r="H117" s="8">
        <f t="shared" si="3"/>
        <v>981085</v>
      </c>
      <c r="I117" s="8">
        <v>20000</v>
      </c>
      <c r="J117" t="s">
        <v>84</v>
      </c>
      <c r="K117" s="12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</row>
    <row r="118" spans="1:18">
      <c r="A118" t="s">
        <v>139</v>
      </c>
      <c r="B118" s="6">
        <v>46049.328564814801</v>
      </c>
      <c r="C118" s="7" t="s">
        <v>19</v>
      </c>
      <c r="D118" s="8">
        <f t="shared" si="2"/>
        <v>29</v>
      </c>
      <c r="E118" s="8">
        <v>29</v>
      </c>
      <c r="F118" s="8"/>
      <c r="G118" s="8">
        <v>279.12</v>
      </c>
      <c r="H118" s="8">
        <f t="shared" si="3"/>
        <v>976920</v>
      </c>
      <c r="I118" s="8">
        <v>20000</v>
      </c>
      <c r="J118" t="s">
        <v>84</v>
      </c>
      <c r="K118" s="12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</row>
    <row r="119" spans="1:18">
      <c r="A119" t="s">
        <v>140</v>
      </c>
      <c r="B119" s="6">
        <v>46053.8109722222</v>
      </c>
      <c r="C119" s="7" t="s">
        <v>19</v>
      </c>
      <c r="D119" s="8">
        <f t="shared" si="2"/>
        <v>88</v>
      </c>
      <c r="E119" s="8">
        <v>88</v>
      </c>
      <c r="F119" s="8"/>
      <c r="G119" s="8">
        <v>279.08</v>
      </c>
      <c r="H119" s="8">
        <f t="shared" si="3"/>
        <v>976780</v>
      </c>
      <c r="I119" s="8">
        <v>20000</v>
      </c>
      <c r="J119" t="s">
        <v>84</v>
      </c>
      <c r="K119" s="12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</row>
    <row r="120" spans="1:18">
      <c r="A120" t="s">
        <v>141</v>
      </c>
      <c r="B120" s="6">
        <v>46029.8355324074</v>
      </c>
      <c r="C120" s="7" t="s">
        <v>19</v>
      </c>
      <c r="D120" s="8">
        <f t="shared" si="2"/>
        <v>45</v>
      </c>
      <c r="E120" s="8">
        <v>45</v>
      </c>
      <c r="F120" s="8"/>
      <c r="G120" s="8">
        <v>274.10000000000002</v>
      </c>
      <c r="H120" s="8">
        <f t="shared" si="3"/>
        <v>959350</v>
      </c>
      <c r="I120" s="8">
        <v>20000</v>
      </c>
      <c r="J120" t="s">
        <v>84</v>
      </c>
      <c r="K120" s="12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</row>
    <row r="121" spans="1:18">
      <c r="A121" t="s">
        <v>142</v>
      </c>
      <c r="B121" s="6">
        <v>46065.737962963001</v>
      </c>
      <c r="C121" s="7" t="s">
        <v>19</v>
      </c>
      <c r="D121" s="8">
        <f t="shared" si="2"/>
        <v>41</v>
      </c>
      <c r="E121" s="8">
        <v>41</v>
      </c>
      <c r="F121" s="8"/>
      <c r="G121" s="8">
        <v>272.42</v>
      </c>
      <c r="H121" s="8">
        <f t="shared" si="3"/>
        <v>953470</v>
      </c>
      <c r="I121" s="8">
        <v>20000</v>
      </c>
      <c r="J121" t="s">
        <v>84</v>
      </c>
      <c r="K121" s="12">
        <v>1</v>
      </c>
      <c r="L121" s="11">
        <v>2.58</v>
      </c>
      <c r="M121" s="11">
        <v>2.58</v>
      </c>
      <c r="N121" s="11">
        <v>-5.8</v>
      </c>
      <c r="O121" s="11">
        <v>2.58</v>
      </c>
      <c r="P121" s="11">
        <v>0</v>
      </c>
      <c r="Q121" s="11">
        <v>-5.8</v>
      </c>
      <c r="R121" s="11">
        <v>0</v>
      </c>
    </row>
    <row r="122" spans="1:18">
      <c r="A122" t="s">
        <v>143</v>
      </c>
      <c r="B122" s="6">
        <v>46068.578599537002</v>
      </c>
      <c r="C122" s="7" t="s">
        <v>19</v>
      </c>
      <c r="D122" s="8">
        <f t="shared" si="2"/>
        <v>126</v>
      </c>
      <c r="E122" s="8">
        <v>126</v>
      </c>
      <c r="F122" s="8"/>
      <c r="G122" s="8">
        <v>262.55</v>
      </c>
      <c r="H122" s="8">
        <f t="shared" si="3"/>
        <v>918925</v>
      </c>
      <c r="I122" s="8">
        <v>20000</v>
      </c>
      <c r="J122" t="s">
        <v>84</v>
      </c>
      <c r="K122" s="12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</row>
    <row r="123" spans="1:18">
      <c r="A123" t="s">
        <v>144</v>
      </c>
      <c r="B123" s="6">
        <v>46030.649710648097</v>
      </c>
      <c r="C123" s="7" t="s">
        <v>19</v>
      </c>
      <c r="D123" s="8">
        <f t="shared" si="2"/>
        <v>100</v>
      </c>
      <c r="E123" s="8">
        <v>100</v>
      </c>
      <c r="F123" s="8"/>
      <c r="G123" s="8">
        <v>257.73</v>
      </c>
      <c r="H123" s="8">
        <f t="shared" si="3"/>
        <v>902055</v>
      </c>
      <c r="I123" s="8">
        <v>20000</v>
      </c>
      <c r="J123" t="s">
        <v>84</v>
      </c>
      <c r="K123" s="12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</row>
    <row r="124" spans="1:18">
      <c r="A124" t="s">
        <v>145</v>
      </c>
      <c r="B124" s="6">
        <v>46021.910219907397</v>
      </c>
      <c r="C124" s="7" t="s">
        <v>19</v>
      </c>
      <c r="D124" s="8">
        <f t="shared" si="2"/>
        <v>56</v>
      </c>
      <c r="E124" s="8">
        <v>56</v>
      </c>
      <c r="F124" s="8"/>
      <c r="G124" s="8">
        <v>257.73</v>
      </c>
      <c r="H124" s="8">
        <f t="shared" si="3"/>
        <v>902055</v>
      </c>
      <c r="I124" s="8">
        <v>20000</v>
      </c>
      <c r="J124" t="s">
        <v>84</v>
      </c>
      <c r="K124" s="12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</row>
    <row r="125" spans="1:18">
      <c r="A125" t="s">
        <v>146</v>
      </c>
      <c r="B125" s="6">
        <v>46061.4041319444</v>
      </c>
      <c r="C125" s="7" t="s">
        <v>19</v>
      </c>
      <c r="D125" s="8">
        <f t="shared" si="2"/>
        <v>28</v>
      </c>
      <c r="E125" s="8">
        <v>28</v>
      </c>
      <c r="F125" s="8"/>
      <c r="G125" s="8">
        <v>252.76</v>
      </c>
      <c r="H125" s="8">
        <f t="shared" si="3"/>
        <v>884660</v>
      </c>
      <c r="I125" s="8">
        <v>20000</v>
      </c>
      <c r="J125" t="s">
        <v>84</v>
      </c>
      <c r="K125" s="12">
        <v>1</v>
      </c>
      <c r="L125" s="11">
        <v>0.77</v>
      </c>
      <c r="M125" s="11">
        <v>0.77</v>
      </c>
      <c r="N125" s="11">
        <v>0.77</v>
      </c>
      <c r="O125" s="11">
        <v>0.77</v>
      </c>
      <c r="P125" s="11">
        <v>0</v>
      </c>
      <c r="Q125" s="11">
        <v>0.77</v>
      </c>
      <c r="R125" s="11">
        <v>0</v>
      </c>
    </row>
    <row r="126" spans="1:18">
      <c r="A126" t="s">
        <v>147</v>
      </c>
      <c r="B126" s="6">
        <v>46068.7570949074</v>
      </c>
      <c r="C126" s="7" t="s">
        <v>19</v>
      </c>
      <c r="D126" s="8">
        <f t="shared" si="2"/>
        <v>25</v>
      </c>
      <c r="E126" s="8">
        <v>25</v>
      </c>
      <c r="F126" s="8"/>
      <c r="G126" s="8">
        <v>252.64</v>
      </c>
      <c r="H126" s="8">
        <f t="shared" si="3"/>
        <v>884240</v>
      </c>
      <c r="I126" s="8">
        <v>20000</v>
      </c>
      <c r="J126" t="s">
        <v>84</v>
      </c>
      <c r="K126" s="12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</row>
    <row r="127" spans="1:18">
      <c r="A127" t="s">
        <v>148</v>
      </c>
      <c r="B127" s="6">
        <v>46066.6194328704</v>
      </c>
      <c r="C127" s="7" t="s">
        <v>19</v>
      </c>
      <c r="D127" s="8">
        <f t="shared" si="2"/>
        <v>120</v>
      </c>
      <c r="E127" s="8">
        <v>120</v>
      </c>
      <c r="F127" s="8"/>
      <c r="G127" s="8">
        <v>252.55</v>
      </c>
      <c r="H127" s="8">
        <f t="shared" si="3"/>
        <v>883925</v>
      </c>
      <c r="I127" s="8">
        <v>20000</v>
      </c>
      <c r="J127" t="s">
        <v>84</v>
      </c>
      <c r="K127" s="12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</row>
    <row r="128" spans="1:18">
      <c r="A128" t="s">
        <v>149</v>
      </c>
      <c r="B128" s="6">
        <v>46051.5499305556</v>
      </c>
      <c r="C128" s="7" t="s">
        <v>19</v>
      </c>
      <c r="D128" s="8">
        <f t="shared" si="2"/>
        <v>211</v>
      </c>
      <c r="E128" s="8">
        <v>211</v>
      </c>
      <c r="F128" s="8"/>
      <c r="G128" s="8">
        <v>247.37</v>
      </c>
      <c r="H128" s="8">
        <f t="shared" si="3"/>
        <v>865795</v>
      </c>
      <c r="I128" s="8">
        <v>20000</v>
      </c>
      <c r="J128" t="s">
        <v>84</v>
      </c>
      <c r="K128" s="12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</row>
    <row r="129" spans="1:18">
      <c r="A129" t="s">
        <v>150</v>
      </c>
      <c r="B129" s="6">
        <v>46034.623437499999</v>
      </c>
      <c r="C129" s="7" t="s">
        <v>19</v>
      </c>
      <c r="D129" s="8">
        <f t="shared" si="2"/>
        <v>83</v>
      </c>
      <c r="E129" s="8">
        <v>83</v>
      </c>
      <c r="F129" s="8"/>
      <c r="G129" s="8">
        <v>247.27</v>
      </c>
      <c r="H129" s="8">
        <f t="shared" si="3"/>
        <v>865445</v>
      </c>
      <c r="I129" s="8">
        <v>20000</v>
      </c>
      <c r="J129" t="s">
        <v>84</v>
      </c>
      <c r="K129" s="12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</row>
    <row r="130" spans="1:18">
      <c r="A130" t="s">
        <v>151</v>
      </c>
      <c r="B130" s="6">
        <v>46035.6007060185</v>
      </c>
      <c r="C130" s="7" t="s">
        <v>19</v>
      </c>
      <c r="D130" s="8">
        <f t="shared" ref="D130:D193" si="4">E130+F130</f>
        <v>134</v>
      </c>
      <c r="E130" s="8">
        <v>134</v>
      </c>
      <c r="F130" s="8"/>
      <c r="G130" s="8">
        <v>245.17</v>
      </c>
      <c r="H130" s="8">
        <f t="shared" ref="H130:H193" si="5">G130*3500</f>
        <v>858095</v>
      </c>
      <c r="I130" s="8">
        <v>20000</v>
      </c>
      <c r="J130" t="s">
        <v>84</v>
      </c>
      <c r="K130" s="12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</row>
    <row r="131" spans="1:18">
      <c r="A131" t="s">
        <v>152</v>
      </c>
      <c r="B131" s="6">
        <v>46054.4984722222</v>
      </c>
      <c r="C131" s="7" t="s">
        <v>19</v>
      </c>
      <c r="D131" s="8">
        <f t="shared" si="4"/>
        <v>48</v>
      </c>
      <c r="E131" s="8">
        <v>48</v>
      </c>
      <c r="F131" s="8"/>
      <c r="G131" s="8">
        <v>243.81</v>
      </c>
      <c r="H131" s="8">
        <f t="shared" si="5"/>
        <v>853335</v>
      </c>
      <c r="I131" s="8">
        <v>20000</v>
      </c>
      <c r="J131" t="s">
        <v>84</v>
      </c>
      <c r="K131" s="12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</row>
    <row r="132" spans="1:18">
      <c r="A132" t="s">
        <v>153</v>
      </c>
      <c r="B132" s="6">
        <v>46065.648460648103</v>
      </c>
      <c r="C132" s="7" t="s">
        <v>19</v>
      </c>
      <c r="D132" s="8">
        <f t="shared" si="4"/>
        <v>30</v>
      </c>
      <c r="E132" s="8">
        <v>30</v>
      </c>
      <c r="F132" s="8"/>
      <c r="G132" s="8">
        <v>242.22</v>
      </c>
      <c r="H132" s="8">
        <f t="shared" si="5"/>
        <v>847770</v>
      </c>
      <c r="I132" s="8">
        <v>20000</v>
      </c>
      <c r="J132" t="s">
        <v>84</v>
      </c>
      <c r="K132" s="12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</row>
    <row r="133" spans="1:18">
      <c r="A133" t="s">
        <v>154</v>
      </c>
      <c r="B133" s="6">
        <v>46030.4292361111</v>
      </c>
      <c r="C133" s="7" t="s">
        <v>19</v>
      </c>
      <c r="D133" s="8">
        <f t="shared" si="4"/>
        <v>51</v>
      </c>
      <c r="E133" s="8">
        <v>51</v>
      </c>
      <c r="F133" s="8"/>
      <c r="G133" s="8">
        <v>241.62</v>
      </c>
      <c r="H133" s="8">
        <f t="shared" si="5"/>
        <v>845670</v>
      </c>
      <c r="I133" s="8">
        <v>20000</v>
      </c>
      <c r="J133" t="s">
        <v>84</v>
      </c>
      <c r="K133" s="12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</row>
    <row r="134" spans="1:18">
      <c r="A134" t="s">
        <v>155</v>
      </c>
      <c r="B134" s="6">
        <v>46015.704062500001</v>
      </c>
      <c r="C134" s="7" t="s">
        <v>19</v>
      </c>
      <c r="D134" s="8">
        <f t="shared" si="4"/>
        <v>55</v>
      </c>
      <c r="E134" s="8">
        <v>55</v>
      </c>
      <c r="F134" s="8"/>
      <c r="G134" s="8">
        <v>232.99</v>
      </c>
      <c r="H134" s="8">
        <f t="shared" si="5"/>
        <v>815465</v>
      </c>
      <c r="I134" s="8">
        <v>20000</v>
      </c>
      <c r="J134" t="s">
        <v>84</v>
      </c>
      <c r="K134" s="12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</row>
    <row r="135" spans="1:18">
      <c r="A135" t="s">
        <v>156</v>
      </c>
      <c r="B135" s="6">
        <v>46062.007708333302</v>
      </c>
      <c r="C135" s="7" t="s">
        <v>19</v>
      </c>
      <c r="D135" s="8">
        <f t="shared" si="4"/>
        <v>95</v>
      </c>
      <c r="E135" s="8">
        <v>95</v>
      </c>
      <c r="F135" s="8"/>
      <c r="G135" s="8">
        <v>227.19</v>
      </c>
      <c r="H135" s="8">
        <f t="shared" si="5"/>
        <v>795165</v>
      </c>
      <c r="I135" s="8">
        <v>20000</v>
      </c>
      <c r="J135" t="s">
        <v>84</v>
      </c>
      <c r="K135" s="12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</row>
    <row r="136" spans="1:18">
      <c r="A136" t="s">
        <v>157</v>
      </c>
      <c r="B136" s="6">
        <v>46046.776238425897</v>
      </c>
      <c r="C136" s="7" t="s">
        <v>19</v>
      </c>
      <c r="D136" s="8">
        <f t="shared" si="4"/>
        <v>99</v>
      </c>
      <c r="E136" s="8">
        <v>99</v>
      </c>
      <c r="F136" s="8"/>
      <c r="G136" s="8">
        <v>225.52</v>
      </c>
      <c r="H136" s="8">
        <f t="shared" si="5"/>
        <v>789320</v>
      </c>
      <c r="I136" s="8">
        <v>20000</v>
      </c>
      <c r="J136" t="s">
        <v>84</v>
      </c>
      <c r="K136" s="12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</row>
    <row r="137" spans="1:18">
      <c r="A137" t="s">
        <v>158</v>
      </c>
      <c r="B137" s="6">
        <v>46023.870428240698</v>
      </c>
      <c r="C137" s="7" t="s">
        <v>19</v>
      </c>
      <c r="D137" s="8">
        <f t="shared" si="4"/>
        <v>58</v>
      </c>
      <c r="E137" s="8">
        <v>58</v>
      </c>
      <c r="F137" s="8"/>
      <c r="G137" s="8">
        <v>223.14</v>
      </c>
      <c r="H137" s="8">
        <f t="shared" si="5"/>
        <v>780990</v>
      </c>
      <c r="I137" s="8">
        <v>20000</v>
      </c>
      <c r="J137" t="s">
        <v>84</v>
      </c>
      <c r="K137" s="12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</row>
    <row r="138" spans="1:18">
      <c r="A138" t="s">
        <v>159</v>
      </c>
      <c r="B138" s="6">
        <v>46051.793900463003</v>
      </c>
      <c r="C138" s="7" t="s">
        <v>19</v>
      </c>
      <c r="D138" s="8">
        <f t="shared" si="4"/>
        <v>29</v>
      </c>
      <c r="E138" s="8">
        <v>29</v>
      </c>
      <c r="F138" s="8"/>
      <c r="G138" s="8">
        <v>222.91</v>
      </c>
      <c r="H138" s="8">
        <f t="shared" si="5"/>
        <v>780185</v>
      </c>
      <c r="I138" s="8">
        <v>20000</v>
      </c>
      <c r="J138" t="s">
        <v>84</v>
      </c>
      <c r="K138" s="12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</row>
    <row r="139" spans="1:18">
      <c r="A139" t="s">
        <v>160</v>
      </c>
      <c r="B139" s="6">
        <v>46065.066747685203</v>
      </c>
      <c r="C139" s="7" t="s">
        <v>19</v>
      </c>
      <c r="D139" s="8">
        <f t="shared" si="4"/>
        <v>41</v>
      </c>
      <c r="E139" s="8">
        <v>41</v>
      </c>
      <c r="F139" s="8"/>
      <c r="G139" s="8">
        <v>221.06</v>
      </c>
      <c r="H139" s="8">
        <f t="shared" si="5"/>
        <v>773710</v>
      </c>
      <c r="I139" s="8">
        <v>20000</v>
      </c>
      <c r="J139" t="s">
        <v>84</v>
      </c>
      <c r="K139" s="12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</row>
    <row r="140" spans="1:18">
      <c r="A140" t="s">
        <v>161</v>
      </c>
      <c r="B140" s="6">
        <v>46066.138043981497</v>
      </c>
      <c r="C140" s="7" t="s">
        <v>19</v>
      </c>
      <c r="D140" s="8">
        <f t="shared" si="4"/>
        <v>74</v>
      </c>
      <c r="E140" s="8">
        <v>74</v>
      </c>
      <c r="F140" s="8"/>
      <c r="G140" s="8">
        <v>220.36</v>
      </c>
      <c r="H140" s="8">
        <f t="shared" si="5"/>
        <v>771260</v>
      </c>
      <c r="I140" s="8">
        <v>20000</v>
      </c>
      <c r="J140" t="s">
        <v>84</v>
      </c>
      <c r="K140" s="12">
        <v>1</v>
      </c>
      <c r="L140" s="11">
        <v>2.06</v>
      </c>
      <c r="M140" s="11">
        <v>2.06</v>
      </c>
      <c r="N140" s="11">
        <v>2.06</v>
      </c>
      <c r="O140" s="11">
        <v>2.06</v>
      </c>
      <c r="P140" s="11">
        <v>0</v>
      </c>
      <c r="Q140" s="11">
        <v>2.06</v>
      </c>
      <c r="R140" s="11">
        <v>0</v>
      </c>
    </row>
    <row r="141" spans="1:18">
      <c r="A141" t="s">
        <v>162</v>
      </c>
      <c r="B141" s="6">
        <v>46051.279814814799</v>
      </c>
      <c r="C141" s="7" t="s">
        <v>19</v>
      </c>
      <c r="D141" s="8">
        <f t="shared" si="4"/>
        <v>41</v>
      </c>
      <c r="E141" s="8">
        <v>41</v>
      </c>
      <c r="F141" s="8"/>
      <c r="G141" s="8">
        <v>217.5</v>
      </c>
      <c r="H141" s="8">
        <f t="shared" si="5"/>
        <v>761250</v>
      </c>
      <c r="I141" s="8">
        <v>20000</v>
      </c>
      <c r="J141" t="s">
        <v>84</v>
      </c>
      <c r="K141" s="12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</row>
    <row r="142" spans="1:18">
      <c r="A142" t="s">
        <v>163</v>
      </c>
      <c r="B142" s="6">
        <v>46033.6339814815</v>
      </c>
      <c r="C142" s="7" t="s">
        <v>19</v>
      </c>
      <c r="D142" s="8">
        <f t="shared" si="4"/>
        <v>31</v>
      </c>
      <c r="E142" s="8">
        <v>31</v>
      </c>
      <c r="F142" s="8"/>
      <c r="G142" s="8">
        <v>216.26</v>
      </c>
      <c r="H142" s="8">
        <f t="shared" si="5"/>
        <v>756910</v>
      </c>
      <c r="I142" s="8">
        <v>20000</v>
      </c>
      <c r="J142" t="s">
        <v>84</v>
      </c>
      <c r="K142" s="12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</row>
    <row r="143" spans="1:18">
      <c r="A143" t="s">
        <v>164</v>
      </c>
      <c r="B143" s="6">
        <v>46065.3129976852</v>
      </c>
      <c r="C143" s="7" t="s">
        <v>19</v>
      </c>
      <c r="D143" s="8">
        <f t="shared" si="4"/>
        <v>50</v>
      </c>
      <c r="E143" s="8">
        <v>50</v>
      </c>
      <c r="F143" s="8"/>
      <c r="G143" s="8">
        <v>215.82</v>
      </c>
      <c r="H143" s="8">
        <f t="shared" si="5"/>
        <v>755370</v>
      </c>
      <c r="I143" s="8">
        <v>20000</v>
      </c>
      <c r="J143" t="s">
        <v>84</v>
      </c>
      <c r="K143" s="12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</row>
    <row r="144" spans="1:18">
      <c r="A144" t="s">
        <v>165</v>
      </c>
      <c r="B144" s="6">
        <v>45997.670173611099</v>
      </c>
      <c r="C144" s="7" t="s">
        <v>19</v>
      </c>
      <c r="D144" s="8">
        <f t="shared" si="4"/>
        <v>24</v>
      </c>
      <c r="E144" s="8">
        <v>24</v>
      </c>
      <c r="F144" s="8"/>
      <c r="G144" s="8">
        <v>215.72</v>
      </c>
      <c r="H144" s="8">
        <f t="shared" si="5"/>
        <v>755020</v>
      </c>
      <c r="I144" s="8">
        <v>20000</v>
      </c>
      <c r="J144" t="s">
        <v>84</v>
      </c>
      <c r="K144" s="12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</row>
    <row r="145" spans="1:18">
      <c r="A145" t="s">
        <v>166</v>
      </c>
      <c r="B145" s="6">
        <v>46005.640046296299</v>
      </c>
      <c r="C145" s="7" t="s">
        <v>19</v>
      </c>
      <c r="D145" s="8">
        <f t="shared" si="4"/>
        <v>22</v>
      </c>
      <c r="E145" s="8">
        <v>22</v>
      </c>
      <c r="F145" s="8"/>
      <c r="G145" s="8">
        <v>215.1</v>
      </c>
      <c r="H145" s="8">
        <f t="shared" si="5"/>
        <v>752850</v>
      </c>
      <c r="I145" s="8">
        <v>20000</v>
      </c>
      <c r="J145" t="s">
        <v>84</v>
      </c>
      <c r="K145" s="12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</row>
    <row r="146" spans="1:18">
      <c r="A146" t="s">
        <v>167</v>
      </c>
      <c r="B146" s="6">
        <v>45933.738877314798</v>
      </c>
      <c r="C146" s="7" t="s">
        <v>19</v>
      </c>
      <c r="D146" s="8">
        <f t="shared" si="4"/>
        <v>105</v>
      </c>
      <c r="E146" s="8">
        <v>105</v>
      </c>
      <c r="F146" s="8"/>
      <c r="G146" s="8">
        <v>213.66</v>
      </c>
      <c r="H146" s="8">
        <f t="shared" si="5"/>
        <v>747810</v>
      </c>
      <c r="I146" s="8">
        <v>20000</v>
      </c>
      <c r="J146" t="s">
        <v>84</v>
      </c>
      <c r="K146" s="12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</row>
    <row r="147" spans="1:18">
      <c r="A147" t="s">
        <v>168</v>
      </c>
      <c r="B147" s="6">
        <v>45997.2967361111</v>
      </c>
      <c r="C147" s="7" t="s">
        <v>19</v>
      </c>
      <c r="D147" s="8">
        <f t="shared" si="4"/>
        <v>33</v>
      </c>
      <c r="E147" s="8">
        <v>33</v>
      </c>
      <c r="F147" s="8"/>
      <c r="G147" s="8">
        <v>213.14</v>
      </c>
      <c r="H147" s="8">
        <f t="shared" si="5"/>
        <v>745990</v>
      </c>
      <c r="I147" s="8">
        <v>20000</v>
      </c>
      <c r="J147" t="s">
        <v>84</v>
      </c>
      <c r="K147" s="12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</row>
    <row r="148" spans="1:18">
      <c r="A148" t="s">
        <v>169</v>
      </c>
      <c r="B148" s="6">
        <v>45952.639467592599</v>
      </c>
      <c r="C148" s="7" t="s">
        <v>19</v>
      </c>
      <c r="D148" s="8">
        <f t="shared" si="4"/>
        <v>42</v>
      </c>
      <c r="E148" s="8">
        <v>42</v>
      </c>
      <c r="F148" s="8"/>
      <c r="G148" s="8">
        <v>212.11</v>
      </c>
      <c r="H148" s="8">
        <f t="shared" si="5"/>
        <v>742385</v>
      </c>
      <c r="I148" s="8">
        <v>20000</v>
      </c>
      <c r="J148" t="s">
        <v>84</v>
      </c>
      <c r="K148" s="12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</row>
    <row r="149" spans="1:18">
      <c r="A149" t="s">
        <v>170</v>
      </c>
      <c r="B149" s="6">
        <v>46011.964143518497</v>
      </c>
      <c r="C149" s="7" t="s">
        <v>19</v>
      </c>
      <c r="D149" s="8">
        <f t="shared" si="4"/>
        <v>127</v>
      </c>
      <c r="E149" s="8">
        <v>127</v>
      </c>
      <c r="F149" s="8"/>
      <c r="G149" s="8">
        <v>211.44</v>
      </c>
      <c r="H149" s="8">
        <f t="shared" si="5"/>
        <v>740040</v>
      </c>
      <c r="I149" s="8">
        <v>20000</v>
      </c>
      <c r="J149" t="s">
        <v>84</v>
      </c>
      <c r="K149" s="12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</row>
    <row r="150" spans="1:18">
      <c r="A150" t="s">
        <v>171</v>
      </c>
      <c r="B150" s="6">
        <v>45971.258553240703</v>
      </c>
      <c r="C150" s="7" t="s">
        <v>19</v>
      </c>
      <c r="D150" s="8">
        <f t="shared" si="4"/>
        <v>119</v>
      </c>
      <c r="E150" s="8">
        <v>119</v>
      </c>
      <c r="F150" s="8"/>
      <c r="G150" s="8">
        <v>208.76</v>
      </c>
      <c r="H150" s="8">
        <f t="shared" si="5"/>
        <v>730660</v>
      </c>
      <c r="I150" s="8">
        <v>20000</v>
      </c>
      <c r="J150" t="s">
        <v>84</v>
      </c>
      <c r="K150" s="12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</row>
    <row r="151" spans="1:18">
      <c r="A151" t="s">
        <v>172</v>
      </c>
      <c r="B151" s="6">
        <v>46002.426377314798</v>
      </c>
      <c r="C151" s="7" t="s">
        <v>19</v>
      </c>
      <c r="D151" s="8">
        <f t="shared" si="4"/>
        <v>72</v>
      </c>
      <c r="E151" s="8">
        <v>72</v>
      </c>
      <c r="F151" s="8"/>
      <c r="G151" s="8">
        <v>208.38</v>
      </c>
      <c r="H151" s="8">
        <f t="shared" si="5"/>
        <v>729330</v>
      </c>
      <c r="I151" s="8">
        <v>20000</v>
      </c>
      <c r="J151" t="s">
        <v>84</v>
      </c>
      <c r="K151" s="12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</row>
    <row r="152" spans="1:18">
      <c r="A152" t="s">
        <v>173</v>
      </c>
      <c r="B152" s="6">
        <v>46045.907025462999</v>
      </c>
      <c r="C152" s="7" t="s">
        <v>19</v>
      </c>
      <c r="D152" s="8">
        <f t="shared" si="4"/>
        <v>34</v>
      </c>
      <c r="E152" s="8">
        <v>34</v>
      </c>
      <c r="F152" s="8"/>
      <c r="G152" s="8">
        <v>204.1</v>
      </c>
      <c r="H152" s="8">
        <f t="shared" si="5"/>
        <v>714350</v>
      </c>
      <c r="I152" s="8">
        <v>20000</v>
      </c>
      <c r="J152" t="s">
        <v>84</v>
      </c>
      <c r="K152" s="12">
        <v>1</v>
      </c>
      <c r="L152" s="11">
        <v>10.57</v>
      </c>
      <c r="M152" s="11">
        <v>10.57</v>
      </c>
      <c r="N152" s="11">
        <v>10.57</v>
      </c>
      <c r="O152" s="11">
        <v>10.57</v>
      </c>
      <c r="P152" s="11">
        <v>0</v>
      </c>
      <c r="Q152" s="11">
        <v>10.57</v>
      </c>
      <c r="R152" s="11">
        <v>0</v>
      </c>
    </row>
    <row r="153" spans="1:18">
      <c r="A153" t="s">
        <v>174</v>
      </c>
      <c r="B153" s="6">
        <v>46065.845115740703</v>
      </c>
      <c r="C153" s="7" t="s">
        <v>19</v>
      </c>
      <c r="D153" s="8">
        <f t="shared" si="4"/>
        <v>107</v>
      </c>
      <c r="E153" s="8">
        <v>107</v>
      </c>
      <c r="F153" s="8"/>
      <c r="G153" s="8">
        <v>203.72</v>
      </c>
      <c r="H153" s="8">
        <f t="shared" si="5"/>
        <v>713020</v>
      </c>
      <c r="I153" s="8">
        <v>20000</v>
      </c>
      <c r="J153" t="s">
        <v>84</v>
      </c>
      <c r="K153" s="12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</row>
    <row r="154" spans="1:18">
      <c r="A154" t="s">
        <v>175</v>
      </c>
      <c r="B154" s="6">
        <v>45931.5805092593</v>
      </c>
      <c r="C154" s="7" t="s">
        <v>19</v>
      </c>
      <c r="D154" s="8">
        <f t="shared" si="4"/>
        <v>88</v>
      </c>
      <c r="E154" s="8">
        <v>88</v>
      </c>
      <c r="F154" s="8"/>
      <c r="G154" s="8">
        <v>203.61</v>
      </c>
      <c r="H154" s="8">
        <f t="shared" si="5"/>
        <v>712635</v>
      </c>
      <c r="I154" s="8">
        <v>20000</v>
      </c>
      <c r="J154" t="s">
        <v>84</v>
      </c>
      <c r="K154" s="12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</row>
    <row r="155" spans="1:18">
      <c r="A155" t="s">
        <v>176</v>
      </c>
      <c r="B155" s="6">
        <v>46057.270127314798</v>
      </c>
      <c r="C155" s="7" t="s">
        <v>19</v>
      </c>
      <c r="D155" s="8">
        <f t="shared" si="4"/>
        <v>57</v>
      </c>
      <c r="E155" s="8">
        <v>57</v>
      </c>
      <c r="F155" s="8"/>
      <c r="G155" s="8">
        <v>202.19</v>
      </c>
      <c r="H155" s="8">
        <f t="shared" si="5"/>
        <v>707665</v>
      </c>
      <c r="I155" s="8">
        <v>20000</v>
      </c>
      <c r="J155" t="s">
        <v>84</v>
      </c>
      <c r="K155" s="12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</row>
    <row r="156" spans="1:18">
      <c r="A156" t="s">
        <v>177</v>
      </c>
      <c r="B156" s="6">
        <v>46050.320601851898</v>
      </c>
      <c r="C156" s="7" t="s">
        <v>19</v>
      </c>
      <c r="D156" s="8">
        <f t="shared" si="4"/>
        <v>42</v>
      </c>
      <c r="E156" s="8">
        <v>42</v>
      </c>
      <c r="F156" s="8"/>
      <c r="G156" s="8">
        <v>200.86</v>
      </c>
      <c r="H156" s="8">
        <f t="shared" si="5"/>
        <v>703010</v>
      </c>
      <c r="I156" s="8">
        <v>20000</v>
      </c>
      <c r="J156" t="s">
        <v>84</v>
      </c>
      <c r="K156" s="12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</row>
    <row r="157" spans="1:18">
      <c r="A157" t="s">
        <v>178</v>
      </c>
      <c r="B157" s="6">
        <v>46018.721620370401</v>
      </c>
      <c r="C157" s="7" t="s">
        <v>19</v>
      </c>
      <c r="D157" s="8">
        <f t="shared" si="4"/>
        <v>40</v>
      </c>
      <c r="E157" s="8">
        <v>40</v>
      </c>
      <c r="F157" s="8"/>
      <c r="G157" s="8">
        <v>198.2</v>
      </c>
      <c r="H157" s="8">
        <f t="shared" si="5"/>
        <v>693700</v>
      </c>
      <c r="I157" s="8">
        <v>20000</v>
      </c>
      <c r="J157" t="s">
        <v>84</v>
      </c>
      <c r="K157" s="12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</row>
    <row r="158" spans="1:18">
      <c r="A158" t="s">
        <v>179</v>
      </c>
      <c r="B158" s="6">
        <v>46030.401921296303</v>
      </c>
      <c r="C158" s="7" t="s">
        <v>19</v>
      </c>
      <c r="D158" s="8">
        <f t="shared" si="4"/>
        <v>61</v>
      </c>
      <c r="E158" s="8">
        <v>61</v>
      </c>
      <c r="F158" s="8"/>
      <c r="G158" s="8">
        <v>196.68</v>
      </c>
      <c r="H158" s="8">
        <f t="shared" si="5"/>
        <v>688380</v>
      </c>
      <c r="I158" s="8">
        <v>20000</v>
      </c>
      <c r="J158" t="s">
        <v>84</v>
      </c>
      <c r="K158" s="12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</row>
    <row r="159" spans="1:18">
      <c r="A159" t="s">
        <v>180</v>
      </c>
      <c r="B159" s="6">
        <v>46034.409803240698</v>
      </c>
      <c r="C159" s="7" t="s">
        <v>19</v>
      </c>
      <c r="D159" s="8">
        <f t="shared" si="4"/>
        <v>133</v>
      </c>
      <c r="E159" s="8">
        <v>133</v>
      </c>
      <c r="F159" s="8"/>
      <c r="G159" s="8">
        <v>195.66</v>
      </c>
      <c r="H159" s="8">
        <f t="shared" si="5"/>
        <v>684810</v>
      </c>
      <c r="I159" s="8">
        <v>20000</v>
      </c>
      <c r="J159" t="s">
        <v>84</v>
      </c>
      <c r="K159" s="12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</row>
    <row r="160" spans="1:18">
      <c r="A160" t="s">
        <v>181</v>
      </c>
      <c r="B160" s="6">
        <v>46010.438530092601</v>
      </c>
      <c r="C160" s="7" t="s">
        <v>19</v>
      </c>
      <c r="D160" s="8">
        <f t="shared" si="4"/>
        <v>93</v>
      </c>
      <c r="E160" s="8">
        <v>93</v>
      </c>
      <c r="F160" s="8"/>
      <c r="G160" s="8">
        <v>193.3</v>
      </c>
      <c r="H160" s="8">
        <f t="shared" si="5"/>
        <v>676550</v>
      </c>
      <c r="I160" s="8">
        <v>20000</v>
      </c>
      <c r="J160" t="s">
        <v>84</v>
      </c>
      <c r="K160" s="12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</row>
    <row r="161" spans="1:18">
      <c r="A161" t="s">
        <v>182</v>
      </c>
      <c r="B161" s="6">
        <v>46054.587175925903</v>
      </c>
      <c r="C161" s="7" t="s">
        <v>19</v>
      </c>
      <c r="D161" s="8">
        <f t="shared" si="4"/>
        <v>112</v>
      </c>
      <c r="E161" s="8">
        <v>24</v>
      </c>
      <c r="F161" s="8">
        <v>88</v>
      </c>
      <c r="G161" s="8">
        <v>192.5</v>
      </c>
      <c r="H161" s="8">
        <f t="shared" si="5"/>
        <v>673750</v>
      </c>
      <c r="I161" s="8">
        <v>20000</v>
      </c>
      <c r="J161" t="s">
        <v>84</v>
      </c>
      <c r="K161" s="12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</row>
    <row r="162" spans="1:18">
      <c r="A162" t="s">
        <v>183</v>
      </c>
      <c r="B162" s="6">
        <v>45960.788506944402</v>
      </c>
      <c r="C162" s="7" t="s">
        <v>19</v>
      </c>
      <c r="D162" s="8">
        <f t="shared" si="4"/>
        <v>64</v>
      </c>
      <c r="E162" s="8">
        <v>64</v>
      </c>
      <c r="F162" s="8"/>
      <c r="G162" s="8">
        <v>188.71</v>
      </c>
      <c r="H162" s="8">
        <f t="shared" si="5"/>
        <v>660485</v>
      </c>
      <c r="I162" s="8">
        <v>20000</v>
      </c>
      <c r="J162" t="s">
        <v>84</v>
      </c>
      <c r="K162" s="12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</row>
    <row r="163" spans="1:18">
      <c r="A163" t="s">
        <v>184</v>
      </c>
      <c r="B163" s="6">
        <v>46053.074756944399</v>
      </c>
      <c r="C163" s="7" t="s">
        <v>19</v>
      </c>
      <c r="D163" s="8">
        <f t="shared" si="4"/>
        <v>56</v>
      </c>
      <c r="E163" s="8">
        <v>56</v>
      </c>
      <c r="F163" s="8"/>
      <c r="G163" s="8">
        <v>188.45</v>
      </c>
      <c r="H163" s="8">
        <f t="shared" si="5"/>
        <v>659575</v>
      </c>
      <c r="I163" s="8">
        <v>20000</v>
      </c>
      <c r="J163" t="s">
        <v>84</v>
      </c>
      <c r="K163" s="12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</row>
    <row r="164" spans="1:18">
      <c r="A164" t="s">
        <v>185</v>
      </c>
      <c r="B164" s="6">
        <v>46050.845717592601</v>
      </c>
      <c r="C164" s="7" t="s">
        <v>19</v>
      </c>
      <c r="D164" s="8">
        <f t="shared" si="4"/>
        <v>99</v>
      </c>
      <c r="E164" s="8">
        <v>99</v>
      </c>
      <c r="F164" s="8"/>
      <c r="G164" s="8">
        <v>187.45</v>
      </c>
      <c r="H164" s="8">
        <f t="shared" si="5"/>
        <v>656075</v>
      </c>
      <c r="I164" s="8">
        <v>20000</v>
      </c>
      <c r="J164" t="s">
        <v>84</v>
      </c>
      <c r="K164" s="12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</row>
    <row r="165" spans="1:18">
      <c r="A165" t="s">
        <v>186</v>
      </c>
      <c r="B165" s="6">
        <v>46063.8847916667</v>
      </c>
      <c r="C165" s="7" t="s">
        <v>19</v>
      </c>
      <c r="D165" s="8">
        <f t="shared" si="4"/>
        <v>26</v>
      </c>
      <c r="E165" s="8">
        <v>26</v>
      </c>
      <c r="F165" s="8"/>
      <c r="G165" s="8">
        <v>181.31</v>
      </c>
      <c r="H165" s="8">
        <f t="shared" si="5"/>
        <v>634585</v>
      </c>
      <c r="I165" s="8">
        <v>20000</v>
      </c>
      <c r="J165" t="s">
        <v>84</v>
      </c>
      <c r="K165" s="12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</row>
    <row r="166" spans="1:18">
      <c r="A166" t="s">
        <v>187</v>
      </c>
      <c r="B166" s="6">
        <v>46069.692280092597</v>
      </c>
      <c r="C166" s="7" t="s">
        <v>19</v>
      </c>
      <c r="D166" s="8">
        <f t="shared" si="4"/>
        <v>70</v>
      </c>
      <c r="E166" s="8">
        <v>70</v>
      </c>
      <c r="F166" s="8"/>
      <c r="G166" s="8">
        <v>181.26</v>
      </c>
      <c r="H166" s="8">
        <f t="shared" si="5"/>
        <v>634410</v>
      </c>
      <c r="I166" s="8">
        <v>20000</v>
      </c>
      <c r="J166" t="s">
        <v>84</v>
      </c>
      <c r="K166" s="12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</row>
    <row r="167" spans="1:18">
      <c r="A167" t="s">
        <v>188</v>
      </c>
      <c r="B167" s="6">
        <v>45965.641724537003</v>
      </c>
      <c r="C167" s="7" t="s">
        <v>19</v>
      </c>
      <c r="D167" s="8">
        <f t="shared" si="4"/>
        <v>110</v>
      </c>
      <c r="E167" s="8">
        <v>110</v>
      </c>
      <c r="F167" s="8"/>
      <c r="G167" s="8">
        <v>180.67</v>
      </c>
      <c r="H167" s="8">
        <f t="shared" si="5"/>
        <v>632345</v>
      </c>
      <c r="I167" s="8">
        <v>20000</v>
      </c>
      <c r="J167" t="s">
        <v>84</v>
      </c>
      <c r="K167" s="12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</row>
    <row r="168" spans="1:18">
      <c r="A168" t="s">
        <v>189</v>
      </c>
      <c r="B168" s="6">
        <v>46061.260902777802</v>
      </c>
      <c r="C168" s="7" t="s">
        <v>19</v>
      </c>
      <c r="D168" s="8">
        <f t="shared" si="4"/>
        <v>136</v>
      </c>
      <c r="E168" s="8">
        <v>136</v>
      </c>
      <c r="F168" s="8"/>
      <c r="G168" s="8">
        <v>180.41</v>
      </c>
      <c r="H168" s="8">
        <f t="shared" si="5"/>
        <v>631435</v>
      </c>
      <c r="I168" s="8">
        <v>20000</v>
      </c>
      <c r="J168" t="s">
        <v>84</v>
      </c>
      <c r="K168" s="12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</row>
    <row r="169" spans="1:18">
      <c r="A169" t="s">
        <v>190</v>
      </c>
      <c r="B169" s="6">
        <v>46063.035092592603</v>
      </c>
      <c r="C169" s="7" t="s">
        <v>19</v>
      </c>
      <c r="D169" s="8">
        <f t="shared" si="4"/>
        <v>37</v>
      </c>
      <c r="E169" s="8">
        <v>37</v>
      </c>
      <c r="F169" s="8"/>
      <c r="G169" s="8">
        <v>180.41</v>
      </c>
      <c r="H169" s="8">
        <f t="shared" si="5"/>
        <v>631435</v>
      </c>
      <c r="I169" s="8">
        <v>20000</v>
      </c>
      <c r="J169" t="s">
        <v>84</v>
      </c>
      <c r="K169" s="12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</row>
    <row r="170" spans="1:18">
      <c r="A170" t="s">
        <v>191</v>
      </c>
      <c r="B170" s="6">
        <v>46004.3459953704</v>
      </c>
      <c r="C170" s="7" t="s">
        <v>19</v>
      </c>
      <c r="D170" s="8">
        <f t="shared" si="4"/>
        <v>62</v>
      </c>
      <c r="E170" s="8">
        <v>62</v>
      </c>
      <c r="F170" s="8"/>
      <c r="G170" s="8">
        <v>180.23</v>
      </c>
      <c r="H170" s="8">
        <f t="shared" si="5"/>
        <v>630805</v>
      </c>
      <c r="I170" s="8">
        <v>20000</v>
      </c>
      <c r="J170" t="s">
        <v>84</v>
      </c>
      <c r="K170" s="12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</row>
    <row r="171" spans="1:18">
      <c r="A171" t="s">
        <v>192</v>
      </c>
      <c r="B171" s="6">
        <v>45967.548564814802</v>
      </c>
      <c r="C171" s="7" t="s">
        <v>19</v>
      </c>
      <c r="D171" s="8">
        <f t="shared" si="4"/>
        <v>171</v>
      </c>
      <c r="E171" s="8">
        <v>171</v>
      </c>
      <c r="F171" s="8"/>
      <c r="G171" s="8">
        <v>180.15</v>
      </c>
      <c r="H171" s="8">
        <f t="shared" si="5"/>
        <v>630525</v>
      </c>
      <c r="I171" s="8">
        <v>20000</v>
      </c>
      <c r="J171" t="s">
        <v>84</v>
      </c>
      <c r="K171" s="12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</row>
    <row r="172" spans="1:18">
      <c r="A172" t="s">
        <v>193</v>
      </c>
      <c r="B172" s="6">
        <v>46019.8289814815</v>
      </c>
      <c r="C172" s="7" t="s">
        <v>19</v>
      </c>
      <c r="D172" s="8">
        <f t="shared" si="4"/>
        <v>48</v>
      </c>
      <c r="E172" s="8">
        <v>48</v>
      </c>
      <c r="F172" s="8"/>
      <c r="G172" s="8">
        <v>180</v>
      </c>
      <c r="H172" s="8">
        <f t="shared" si="5"/>
        <v>630000</v>
      </c>
      <c r="I172" s="8">
        <v>20000</v>
      </c>
      <c r="J172" t="s">
        <v>84</v>
      </c>
      <c r="K172" s="12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</row>
    <row r="173" spans="1:18">
      <c r="A173" t="s">
        <v>194</v>
      </c>
      <c r="B173" s="6">
        <v>46053.857245370396</v>
      </c>
      <c r="C173" s="7" t="s">
        <v>19</v>
      </c>
      <c r="D173" s="8">
        <f t="shared" si="4"/>
        <v>51</v>
      </c>
      <c r="E173" s="8">
        <v>51</v>
      </c>
      <c r="F173" s="8"/>
      <c r="G173" s="8">
        <v>179.9</v>
      </c>
      <c r="H173" s="8">
        <f t="shared" si="5"/>
        <v>629650</v>
      </c>
      <c r="I173" s="8">
        <v>20000</v>
      </c>
      <c r="J173" t="s">
        <v>84</v>
      </c>
      <c r="K173" s="12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</row>
    <row r="174" spans="1:18">
      <c r="A174" t="s">
        <v>195</v>
      </c>
      <c r="B174" s="6">
        <v>46054.8050462963</v>
      </c>
      <c r="C174" s="7" t="s">
        <v>19</v>
      </c>
      <c r="D174" s="8">
        <f t="shared" si="4"/>
        <v>111</v>
      </c>
      <c r="E174" s="8">
        <v>111</v>
      </c>
      <c r="F174" s="8"/>
      <c r="G174" s="8">
        <v>178.79</v>
      </c>
      <c r="H174" s="8">
        <f t="shared" si="5"/>
        <v>625765</v>
      </c>
      <c r="I174" s="8">
        <v>20000</v>
      </c>
      <c r="J174" t="s">
        <v>84</v>
      </c>
      <c r="K174" s="12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</row>
    <row r="175" spans="1:18">
      <c r="A175" t="s">
        <v>196</v>
      </c>
      <c r="B175" s="6">
        <v>46023.713726851798</v>
      </c>
      <c r="C175" s="7" t="s">
        <v>19</v>
      </c>
      <c r="D175" s="8">
        <f t="shared" si="4"/>
        <v>37</v>
      </c>
      <c r="E175" s="8">
        <v>37</v>
      </c>
      <c r="F175" s="8"/>
      <c r="G175" s="8">
        <v>178.04</v>
      </c>
      <c r="H175" s="8">
        <f t="shared" si="5"/>
        <v>623140</v>
      </c>
      <c r="I175" s="8">
        <v>20000</v>
      </c>
      <c r="J175" t="s">
        <v>84</v>
      </c>
      <c r="K175" s="12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</row>
    <row r="176" spans="1:18">
      <c r="A176" t="s">
        <v>197</v>
      </c>
      <c r="B176" s="6">
        <v>46035.277870370403</v>
      </c>
      <c r="C176" s="7" t="s">
        <v>19</v>
      </c>
      <c r="D176" s="8">
        <f t="shared" si="4"/>
        <v>110</v>
      </c>
      <c r="E176" s="8">
        <v>110</v>
      </c>
      <c r="F176" s="8"/>
      <c r="G176" s="8">
        <v>175.41</v>
      </c>
      <c r="H176" s="8">
        <f t="shared" si="5"/>
        <v>613935</v>
      </c>
      <c r="I176" s="8">
        <v>20000</v>
      </c>
      <c r="J176" t="s">
        <v>84</v>
      </c>
      <c r="K176" s="12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</row>
    <row r="177" spans="1:18">
      <c r="A177" t="s">
        <v>198</v>
      </c>
      <c r="B177" s="6">
        <v>46030.7669328704</v>
      </c>
      <c r="C177" s="7" t="s">
        <v>19</v>
      </c>
      <c r="D177" s="8">
        <f t="shared" si="4"/>
        <v>57</v>
      </c>
      <c r="E177" s="8">
        <v>57</v>
      </c>
      <c r="F177" s="8"/>
      <c r="G177" s="8">
        <v>174.92</v>
      </c>
      <c r="H177" s="8">
        <f t="shared" si="5"/>
        <v>612220</v>
      </c>
      <c r="I177" s="8">
        <v>20000</v>
      </c>
      <c r="J177" t="s">
        <v>84</v>
      </c>
      <c r="K177" s="12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</row>
    <row r="178" spans="1:18">
      <c r="A178" t="s">
        <v>199</v>
      </c>
      <c r="B178" s="6">
        <v>46000.9295949074</v>
      </c>
      <c r="C178" s="7" t="s">
        <v>19</v>
      </c>
      <c r="D178" s="8">
        <f t="shared" si="4"/>
        <v>66</v>
      </c>
      <c r="E178" s="8">
        <v>66</v>
      </c>
      <c r="F178" s="8"/>
      <c r="G178" s="8">
        <v>174.43</v>
      </c>
      <c r="H178" s="8">
        <f t="shared" si="5"/>
        <v>610505</v>
      </c>
      <c r="I178" s="8">
        <v>20000</v>
      </c>
      <c r="J178" t="s">
        <v>84</v>
      </c>
      <c r="K178" s="12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</row>
    <row r="179" spans="1:18">
      <c r="A179" t="s">
        <v>200</v>
      </c>
      <c r="B179" s="6">
        <v>46031.532986111102</v>
      </c>
      <c r="C179" s="7" t="s">
        <v>19</v>
      </c>
      <c r="D179" s="8">
        <f t="shared" si="4"/>
        <v>59</v>
      </c>
      <c r="E179" s="8">
        <v>59</v>
      </c>
      <c r="F179" s="8"/>
      <c r="G179" s="8">
        <v>173.87</v>
      </c>
      <c r="H179" s="8">
        <f t="shared" si="5"/>
        <v>608545</v>
      </c>
      <c r="I179" s="8">
        <v>20000</v>
      </c>
      <c r="J179" t="s">
        <v>84</v>
      </c>
      <c r="K179" s="12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</row>
    <row r="180" spans="1:18">
      <c r="A180" t="s">
        <v>201</v>
      </c>
      <c r="B180" s="6">
        <v>46046.212974536997</v>
      </c>
      <c r="C180" s="7" t="s">
        <v>19</v>
      </c>
      <c r="D180" s="8">
        <f t="shared" si="4"/>
        <v>171</v>
      </c>
      <c r="E180" s="8">
        <v>171</v>
      </c>
      <c r="F180" s="8"/>
      <c r="G180" s="8">
        <v>173.17</v>
      </c>
      <c r="H180" s="8">
        <f t="shared" si="5"/>
        <v>606095</v>
      </c>
      <c r="I180" s="8">
        <v>20000</v>
      </c>
      <c r="J180" t="s">
        <v>84</v>
      </c>
      <c r="K180" s="12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</row>
    <row r="181" spans="1:18">
      <c r="A181" t="s">
        <v>202</v>
      </c>
      <c r="B181" s="6">
        <v>46035.901412036997</v>
      </c>
      <c r="C181" s="7" t="s">
        <v>19</v>
      </c>
      <c r="D181" s="8">
        <f t="shared" si="4"/>
        <v>34</v>
      </c>
      <c r="E181" s="8">
        <v>34</v>
      </c>
      <c r="F181" s="8"/>
      <c r="G181" s="8">
        <v>172.68</v>
      </c>
      <c r="H181" s="8">
        <f t="shared" si="5"/>
        <v>604380</v>
      </c>
      <c r="I181" s="8">
        <v>20000</v>
      </c>
      <c r="J181" t="s">
        <v>84</v>
      </c>
      <c r="K181" s="12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</row>
    <row r="182" spans="1:18">
      <c r="A182" t="s">
        <v>203</v>
      </c>
      <c r="B182" s="6">
        <v>46046.796238425901</v>
      </c>
      <c r="C182" s="7" t="s">
        <v>19</v>
      </c>
      <c r="D182" s="8">
        <f t="shared" si="4"/>
        <v>160</v>
      </c>
      <c r="E182" s="8">
        <v>160</v>
      </c>
      <c r="F182" s="8"/>
      <c r="G182" s="8">
        <v>168.81</v>
      </c>
      <c r="H182" s="8">
        <f t="shared" si="5"/>
        <v>590835</v>
      </c>
      <c r="I182" s="8">
        <v>20000</v>
      </c>
      <c r="J182" t="s">
        <v>84</v>
      </c>
      <c r="K182" s="12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</row>
    <row r="183" spans="1:18">
      <c r="A183" t="s">
        <v>204</v>
      </c>
      <c r="B183" s="6">
        <v>46065.436087962997</v>
      </c>
      <c r="C183" s="7" t="s">
        <v>19</v>
      </c>
      <c r="D183" s="8">
        <f t="shared" si="4"/>
        <v>70</v>
      </c>
      <c r="E183" s="8">
        <v>70</v>
      </c>
      <c r="F183" s="8"/>
      <c r="G183" s="8">
        <v>167.96</v>
      </c>
      <c r="H183" s="8">
        <f t="shared" si="5"/>
        <v>587860</v>
      </c>
      <c r="I183" s="8">
        <v>20000</v>
      </c>
      <c r="J183" t="s">
        <v>84</v>
      </c>
      <c r="K183" s="12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</row>
    <row r="184" spans="1:18">
      <c r="A184" t="s">
        <v>205</v>
      </c>
      <c r="B184" s="6">
        <v>46051.8518287037</v>
      </c>
      <c r="C184" s="7" t="s">
        <v>19</v>
      </c>
      <c r="D184" s="8">
        <f t="shared" si="4"/>
        <v>126</v>
      </c>
      <c r="E184" s="8">
        <v>50</v>
      </c>
      <c r="F184" s="8">
        <v>76</v>
      </c>
      <c r="G184" s="8">
        <v>167.24</v>
      </c>
      <c r="H184" s="8">
        <f t="shared" si="5"/>
        <v>585340</v>
      </c>
      <c r="I184" s="8">
        <v>20000</v>
      </c>
      <c r="J184" t="s">
        <v>84</v>
      </c>
      <c r="K184" s="12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</row>
    <row r="185" spans="1:18">
      <c r="A185" t="s">
        <v>206</v>
      </c>
      <c r="B185" s="6">
        <v>46062.772835648102</v>
      </c>
      <c r="C185" s="7" t="s">
        <v>19</v>
      </c>
      <c r="D185" s="8">
        <f t="shared" si="4"/>
        <v>35</v>
      </c>
      <c r="E185" s="8">
        <v>35</v>
      </c>
      <c r="F185" s="8"/>
      <c r="G185" s="8">
        <v>166.97</v>
      </c>
      <c r="H185" s="8">
        <f t="shared" si="5"/>
        <v>584395</v>
      </c>
      <c r="I185" s="8">
        <v>20000</v>
      </c>
      <c r="J185" t="s">
        <v>84</v>
      </c>
      <c r="K185" s="12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</row>
    <row r="186" spans="1:18">
      <c r="A186" t="s">
        <v>207</v>
      </c>
      <c r="B186" s="6">
        <v>46064.632569444402</v>
      </c>
      <c r="C186" s="7" t="s">
        <v>19</v>
      </c>
      <c r="D186" s="8">
        <f t="shared" si="4"/>
        <v>41</v>
      </c>
      <c r="E186" s="8">
        <v>41</v>
      </c>
      <c r="F186" s="8"/>
      <c r="G186" s="8">
        <v>164.41</v>
      </c>
      <c r="H186" s="8">
        <f t="shared" si="5"/>
        <v>575435</v>
      </c>
      <c r="I186" s="8">
        <v>20000</v>
      </c>
      <c r="J186" t="s">
        <v>84</v>
      </c>
      <c r="K186" s="12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</row>
    <row r="187" spans="1:18">
      <c r="A187" t="s">
        <v>208</v>
      </c>
      <c r="B187" s="6">
        <v>46012.776041666701</v>
      </c>
      <c r="C187" s="7" t="s">
        <v>19</v>
      </c>
      <c r="D187" s="8">
        <f t="shared" si="4"/>
        <v>63</v>
      </c>
      <c r="E187" s="8">
        <v>63</v>
      </c>
      <c r="F187" s="8"/>
      <c r="G187" s="8">
        <v>163.4</v>
      </c>
      <c r="H187" s="8">
        <f t="shared" si="5"/>
        <v>571900</v>
      </c>
      <c r="I187" s="8">
        <v>20000</v>
      </c>
      <c r="J187" t="s">
        <v>84</v>
      </c>
      <c r="K187" s="12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</row>
    <row r="188" spans="1:18">
      <c r="A188" t="s">
        <v>209</v>
      </c>
      <c r="B188" s="6">
        <v>46028.6303819444</v>
      </c>
      <c r="C188" s="7" t="s">
        <v>19</v>
      </c>
      <c r="D188" s="8">
        <f t="shared" si="4"/>
        <v>99</v>
      </c>
      <c r="E188" s="8">
        <v>99</v>
      </c>
      <c r="F188" s="8"/>
      <c r="G188" s="8">
        <v>162.37</v>
      </c>
      <c r="H188" s="8">
        <f t="shared" si="5"/>
        <v>568295</v>
      </c>
      <c r="I188" s="8">
        <v>20000</v>
      </c>
      <c r="J188" t="s">
        <v>84</v>
      </c>
      <c r="K188" s="12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</row>
    <row r="189" spans="1:18">
      <c r="A189" t="s">
        <v>210</v>
      </c>
      <c r="B189" s="6">
        <v>46026.655636574098</v>
      </c>
      <c r="C189" s="7" t="s">
        <v>19</v>
      </c>
      <c r="D189" s="8">
        <f t="shared" si="4"/>
        <v>27</v>
      </c>
      <c r="E189" s="8">
        <v>27</v>
      </c>
      <c r="F189" s="8"/>
      <c r="G189" s="8">
        <v>161.57</v>
      </c>
      <c r="H189" s="8">
        <f t="shared" si="5"/>
        <v>565495</v>
      </c>
      <c r="I189" s="8">
        <v>20000</v>
      </c>
      <c r="J189" t="s">
        <v>84</v>
      </c>
      <c r="K189" s="12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</row>
    <row r="190" spans="1:18">
      <c r="A190" t="s">
        <v>211</v>
      </c>
      <c r="B190" s="6">
        <v>46053.301180555602</v>
      </c>
      <c r="C190" s="7" t="s">
        <v>19</v>
      </c>
      <c r="D190" s="8">
        <f t="shared" si="4"/>
        <v>37</v>
      </c>
      <c r="E190" s="8">
        <v>37</v>
      </c>
      <c r="F190" s="8"/>
      <c r="G190" s="8">
        <v>161.08000000000001</v>
      </c>
      <c r="H190" s="8">
        <f t="shared" si="5"/>
        <v>563780</v>
      </c>
      <c r="I190" s="8">
        <v>20000</v>
      </c>
      <c r="J190" t="s">
        <v>84</v>
      </c>
      <c r="K190" s="12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</row>
    <row r="191" spans="1:18">
      <c r="A191" t="s">
        <v>212</v>
      </c>
      <c r="B191" s="6">
        <v>46068.814560185201</v>
      </c>
      <c r="C191" s="7" t="s">
        <v>19</v>
      </c>
      <c r="D191" s="8">
        <f t="shared" si="4"/>
        <v>98</v>
      </c>
      <c r="E191" s="8">
        <v>98</v>
      </c>
      <c r="F191" s="8"/>
      <c r="G191" s="8">
        <v>160.12</v>
      </c>
      <c r="H191" s="8">
        <f t="shared" si="5"/>
        <v>560420</v>
      </c>
      <c r="I191" s="8">
        <v>20000</v>
      </c>
      <c r="J191" t="s">
        <v>84</v>
      </c>
      <c r="K191" s="12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</row>
    <row r="192" spans="1:18">
      <c r="A192" t="s">
        <v>213</v>
      </c>
      <c r="B192" s="6">
        <v>45982.772650462997</v>
      </c>
      <c r="C192" s="7" t="s">
        <v>19</v>
      </c>
      <c r="D192" s="8">
        <f t="shared" si="4"/>
        <v>44</v>
      </c>
      <c r="E192" s="8">
        <v>44</v>
      </c>
      <c r="F192" s="8"/>
      <c r="G192" s="8">
        <v>158.76</v>
      </c>
      <c r="H192" s="8">
        <f t="shared" si="5"/>
        <v>555660</v>
      </c>
      <c r="I192" s="8">
        <v>20000</v>
      </c>
      <c r="J192" t="s">
        <v>84</v>
      </c>
      <c r="K192" s="12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</row>
    <row r="193" spans="1:18">
      <c r="A193" t="s">
        <v>214</v>
      </c>
      <c r="B193" s="6">
        <v>46027.298252314802</v>
      </c>
      <c r="C193" s="7" t="s">
        <v>19</v>
      </c>
      <c r="D193" s="8">
        <f t="shared" si="4"/>
        <v>25</v>
      </c>
      <c r="E193" s="8">
        <v>25</v>
      </c>
      <c r="F193" s="8"/>
      <c r="G193" s="8">
        <v>157.76</v>
      </c>
      <c r="H193" s="8">
        <f t="shared" si="5"/>
        <v>552160</v>
      </c>
      <c r="I193" s="8">
        <v>20000</v>
      </c>
      <c r="J193" t="s">
        <v>84</v>
      </c>
      <c r="K193" s="12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</row>
    <row r="194" spans="1:18">
      <c r="A194" t="s">
        <v>215</v>
      </c>
      <c r="B194" s="6">
        <v>46060.785567129598</v>
      </c>
      <c r="C194" s="7" t="s">
        <v>19</v>
      </c>
      <c r="D194" s="8">
        <f t="shared" ref="D194:D257" si="6">E194+F194</f>
        <v>43</v>
      </c>
      <c r="E194" s="8">
        <v>43</v>
      </c>
      <c r="F194" s="8"/>
      <c r="G194" s="8">
        <v>157.55000000000001</v>
      </c>
      <c r="H194" s="8">
        <f t="shared" ref="H194:H257" si="7">G194*3500</f>
        <v>551425</v>
      </c>
      <c r="I194" s="8">
        <v>20000</v>
      </c>
      <c r="J194" t="s">
        <v>84</v>
      </c>
      <c r="K194" s="12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</row>
    <row r="195" spans="1:18">
      <c r="A195" t="s">
        <v>216</v>
      </c>
      <c r="B195" s="6">
        <v>46052.469780092601</v>
      </c>
      <c r="C195" s="7" t="s">
        <v>19</v>
      </c>
      <c r="D195" s="8">
        <f t="shared" si="6"/>
        <v>80</v>
      </c>
      <c r="E195" s="8">
        <v>80</v>
      </c>
      <c r="F195" s="8"/>
      <c r="G195" s="8">
        <v>157.53</v>
      </c>
      <c r="H195" s="8">
        <f t="shared" si="7"/>
        <v>551355</v>
      </c>
      <c r="I195" s="8">
        <v>20000</v>
      </c>
      <c r="J195" t="s">
        <v>84</v>
      </c>
      <c r="K195" s="12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</row>
    <row r="196" spans="1:18">
      <c r="A196" t="s">
        <v>217</v>
      </c>
      <c r="B196" s="6">
        <v>46023.221261574101</v>
      </c>
      <c r="C196" s="7" t="s">
        <v>19</v>
      </c>
      <c r="D196" s="8">
        <f t="shared" si="6"/>
        <v>43</v>
      </c>
      <c r="E196" s="8">
        <v>43</v>
      </c>
      <c r="F196" s="8"/>
      <c r="G196" s="8">
        <v>155.93</v>
      </c>
      <c r="H196" s="8">
        <f t="shared" si="7"/>
        <v>545755</v>
      </c>
      <c r="I196" s="8">
        <v>20000</v>
      </c>
      <c r="J196" t="s">
        <v>84</v>
      </c>
      <c r="K196" s="12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</row>
    <row r="197" spans="1:18">
      <c r="A197" t="s">
        <v>218</v>
      </c>
      <c r="B197" s="6">
        <v>46066.511527777802</v>
      </c>
      <c r="C197" s="7" t="s">
        <v>19</v>
      </c>
      <c r="D197" s="8">
        <f t="shared" si="6"/>
        <v>44</v>
      </c>
      <c r="E197" s="8">
        <v>44</v>
      </c>
      <c r="F197" s="8"/>
      <c r="G197" s="8">
        <v>155.15</v>
      </c>
      <c r="H197" s="8">
        <f t="shared" si="7"/>
        <v>543025</v>
      </c>
      <c r="I197" s="8">
        <v>20000</v>
      </c>
      <c r="J197" t="s">
        <v>84</v>
      </c>
      <c r="K197" s="12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</row>
    <row r="198" spans="1:18">
      <c r="A198" t="s">
        <v>219</v>
      </c>
      <c r="B198" s="6">
        <v>46032.465879629599</v>
      </c>
      <c r="C198" s="7" t="s">
        <v>19</v>
      </c>
      <c r="D198" s="8">
        <f t="shared" si="6"/>
        <v>67</v>
      </c>
      <c r="E198" s="8">
        <v>67</v>
      </c>
      <c r="F198" s="8"/>
      <c r="G198" s="8">
        <v>153.57</v>
      </c>
      <c r="H198" s="8">
        <f t="shared" si="7"/>
        <v>537495</v>
      </c>
      <c r="I198" s="8">
        <v>20000</v>
      </c>
      <c r="J198" t="s">
        <v>84</v>
      </c>
      <c r="K198" s="12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</row>
    <row r="199" spans="1:18">
      <c r="A199" t="s">
        <v>220</v>
      </c>
      <c r="B199" s="6">
        <v>46069.964652777802</v>
      </c>
      <c r="C199" s="7" t="s">
        <v>19</v>
      </c>
      <c r="D199" s="8">
        <f t="shared" si="6"/>
        <v>36</v>
      </c>
      <c r="E199" s="8">
        <v>36</v>
      </c>
      <c r="F199" s="8"/>
      <c r="G199" s="8">
        <v>150.77000000000001</v>
      </c>
      <c r="H199" s="8">
        <f t="shared" si="7"/>
        <v>527695</v>
      </c>
      <c r="I199" s="8">
        <v>20000</v>
      </c>
      <c r="J199" t="s">
        <v>84</v>
      </c>
      <c r="K199" s="12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</row>
    <row r="200" spans="1:18">
      <c r="A200" t="s">
        <v>221</v>
      </c>
      <c r="B200" s="6">
        <v>46046.823032407403</v>
      </c>
      <c r="C200" s="7" t="s">
        <v>19</v>
      </c>
      <c r="D200" s="8">
        <f t="shared" si="6"/>
        <v>71</v>
      </c>
      <c r="E200" s="8">
        <v>71</v>
      </c>
      <c r="F200" s="8"/>
      <c r="G200" s="8">
        <v>147.55000000000001</v>
      </c>
      <c r="H200" s="8">
        <f t="shared" si="7"/>
        <v>516425</v>
      </c>
      <c r="I200" s="8">
        <v>20000</v>
      </c>
      <c r="J200" t="s">
        <v>84</v>
      </c>
      <c r="K200" s="12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</row>
    <row r="201" spans="1:18">
      <c r="A201" t="s">
        <v>222</v>
      </c>
      <c r="B201" s="6">
        <v>46054.638877314799</v>
      </c>
      <c r="C201" s="7" t="s">
        <v>19</v>
      </c>
      <c r="D201" s="8">
        <f t="shared" si="6"/>
        <v>93</v>
      </c>
      <c r="E201" s="8">
        <v>93</v>
      </c>
      <c r="F201" s="8"/>
      <c r="G201" s="8">
        <v>147.41999999999999</v>
      </c>
      <c r="H201" s="8">
        <f t="shared" si="7"/>
        <v>515970</v>
      </c>
      <c r="I201" s="8">
        <v>20000</v>
      </c>
      <c r="J201" t="s">
        <v>84</v>
      </c>
      <c r="K201" s="12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</row>
    <row r="202" spans="1:18">
      <c r="A202" t="s">
        <v>223</v>
      </c>
      <c r="B202" s="6">
        <v>45997.526666666701</v>
      </c>
      <c r="C202" s="7" t="s">
        <v>19</v>
      </c>
      <c r="D202" s="8">
        <f t="shared" si="6"/>
        <v>64</v>
      </c>
      <c r="E202" s="8">
        <v>64</v>
      </c>
      <c r="F202" s="8"/>
      <c r="G202" s="8">
        <v>147.16</v>
      </c>
      <c r="H202" s="8">
        <f t="shared" si="7"/>
        <v>515060</v>
      </c>
      <c r="I202" s="8">
        <v>20000</v>
      </c>
      <c r="J202" t="s">
        <v>84</v>
      </c>
      <c r="K202" s="12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</row>
    <row r="203" spans="1:18">
      <c r="A203" t="s">
        <v>224</v>
      </c>
      <c r="B203" s="6">
        <v>46005.551527777803</v>
      </c>
      <c r="C203" s="7" t="s">
        <v>19</v>
      </c>
      <c r="D203" s="8">
        <f t="shared" si="6"/>
        <v>80</v>
      </c>
      <c r="E203" s="8">
        <v>80</v>
      </c>
      <c r="F203" s="8"/>
      <c r="G203" s="8">
        <v>146.38999999999999</v>
      </c>
      <c r="H203" s="8">
        <f t="shared" si="7"/>
        <v>512365</v>
      </c>
      <c r="I203" s="8">
        <v>20000</v>
      </c>
      <c r="J203" t="s">
        <v>84</v>
      </c>
      <c r="K203" s="12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</row>
    <row r="204" spans="1:18">
      <c r="A204" t="s">
        <v>225</v>
      </c>
      <c r="B204" s="6">
        <v>46063.911458333299</v>
      </c>
      <c r="C204" s="7" t="s">
        <v>19</v>
      </c>
      <c r="D204" s="8">
        <f t="shared" si="6"/>
        <v>30</v>
      </c>
      <c r="E204" s="8">
        <v>30</v>
      </c>
      <c r="F204" s="8"/>
      <c r="G204" s="8">
        <v>144.63999999999999</v>
      </c>
      <c r="H204" s="8">
        <f t="shared" si="7"/>
        <v>506240</v>
      </c>
      <c r="I204" s="8">
        <v>20000</v>
      </c>
      <c r="J204" t="s">
        <v>84</v>
      </c>
      <c r="K204" s="12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</row>
    <row r="205" spans="1:18">
      <c r="A205" t="s">
        <v>226</v>
      </c>
      <c r="B205" s="6">
        <v>45993.571423611102</v>
      </c>
      <c r="C205" s="7" t="s">
        <v>19</v>
      </c>
      <c r="D205" s="8">
        <f t="shared" si="6"/>
        <v>71</v>
      </c>
      <c r="E205" s="8">
        <v>71</v>
      </c>
      <c r="F205" s="8"/>
      <c r="G205" s="8">
        <v>143.4</v>
      </c>
      <c r="H205" s="8">
        <f t="shared" si="7"/>
        <v>501900</v>
      </c>
      <c r="I205" s="8">
        <v>20000</v>
      </c>
      <c r="J205" t="s">
        <v>84</v>
      </c>
      <c r="K205" s="12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</row>
    <row r="206" spans="1:18">
      <c r="A206" t="s">
        <v>227</v>
      </c>
      <c r="B206" s="6">
        <v>45941.685740740701</v>
      </c>
      <c r="C206" s="7" t="s">
        <v>19</v>
      </c>
      <c r="D206" s="8">
        <f t="shared" si="6"/>
        <v>26</v>
      </c>
      <c r="E206" s="8">
        <v>26</v>
      </c>
      <c r="F206" s="8"/>
      <c r="G206" s="8">
        <v>142.24</v>
      </c>
      <c r="H206" s="8">
        <f t="shared" si="7"/>
        <v>497840</v>
      </c>
      <c r="I206" s="8">
        <v>20000</v>
      </c>
      <c r="J206" t="s">
        <v>84</v>
      </c>
      <c r="K206" s="12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</row>
    <row r="207" spans="1:18">
      <c r="A207" t="s">
        <v>228</v>
      </c>
      <c r="B207" s="6">
        <v>46012.676018518498</v>
      </c>
      <c r="C207" s="7" t="s">
        <v>19</v>
      </c>
      <c r="D207" s="8">
        <f t="shared" si="6"/>
        <v>72</v>
      </c>
      <c r="E207" s="8">
        <v>72</v>
      </c>
      <c r="F207" s="8"/>
      <c r="G207" s="8">
        <v>141.78</v>
      </c>
      <c r="H207" s="8">
        <f t="shared" si="7"/>
        <v>496230</v>
      </c>
      <c r="I207" s="8">
        <v>20000</v>
      </c>
      <c r="J207" t="s">
        <v>84</v>
      </c>
      <c r="K207" s="12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</row>
    <row r="208" spans="1:18">
      <c r="A208" t="s">
        <v>229</v>
      </c>
      <c r="B208" s="6">
        <v>46027.385925925897</v>
      </c>
      <c r="C208" s="7" t="s">
        <v>19</v>
      </c>
      <c r="D208" s="8">
        <f t="shared" si="6"/>
        <v>47</v>
      </c>
      <c r="E208" s="8">
        <v>47</v>
      </c>
      <c r="F208" s="8"/>
      <c r="G208" s="8">
        <v>141.75</v>
      </c>
      <c r="H208" s="8">
        <f t="shared" si="7"/>
        <v>496125</v>
      </c>
      <c r="I208" s="8">
        <v>20000</v>
      </c>
      <c r="J208" t="s">
        <v>84</v>
      </c>
      <c r="K208" s="12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</row>
    <row r="209" spans="1:18">
      <c r="A209" t="s">
        <v>230</v>
      </c>
      <c r="B209" s="6">
        <v>46032.678634259297</v>
      </c>
      <c r="C209" s="7" t="s">
        <v>19</v>
      </c>
      <c r="D209" s="8">
        <f t="shared" si="6"/>
        <v>24</v>
      </c>
      <c r="E209" s="8">
        <v>24</v>
      </c>
      <c r="F209" s="8"/>
      <c r="G209" s="8">
        <v>141.62</v>
      </c>
      <c r="H209" s="8">
        <f t="shared" si="7"/>
        <v>495670</v>
      </c>
      <c r="I209" s="8">
        <v>20000</v>
      </c>
      <c r="J209" t="s">
        <v>84</v>
      </c>
      <c r="K209" s="12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</row>
    <row r="210" spans="1:18">
      <c r="A210" t="s">
        <v>231</v>
      </c>
      <c r="B210" s="6">
        <v>46050.461087962998</v>
      </c>
      <c r="C210" s="7" t="s">
        <v>19</v>
      </c>
      <c r="D210" s="8">
        <f t="shared" si="6"/>
        <v>32</v>
      </c>
      <c r="E210" s="8">
        <v>32</v>
      </c>
      <c r="F210" s="8"/>
      <c r="G210" s="8">
        <v>138.79</v>
      </c>
      <c r="H210" s="8">
        <f t="shared" si="7"/>
        <v>485765</v>
      </c>
      <c r="I210" s="8">
        <v>20000</v>
      </c>
      <c r="J210" t="s">
        <v>84</v>
      </c>
      <c r="K210" s="12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</row>
    <row r="211" spans="1:18">
      <c r="A211" t="s">
        <v>232</v>
      </c>
      <c r="B211" s="6">
        <v>46024.440752314797</v>
      </c>
      <c r="C211" s="7" t="s">
        <v>19</v>
      </c>
      <c r="D211" s="8">
        <f t="shared" si="6"/>
        <v>139</v>
      </c>
      <c r="E211" s="8">
        <v>22</v>
      </c>
      <c r="F211" s="8">
        <v>117</v>
      </c>
      <c r="G211" s="8">
        <v>136.08000000000001</v>
      </c>
      <c r="H211" s="8">
        <f t="shared" si="7"/>
        <v>476280</v>
      </c>
      <c r="I211" s="8">
        <v>20000</v>
      </c>
      <c r="J211" t="s">
        <v>84</v>
      </c>
      <c r="K211" s="12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</row>
    <row r="212" spans="1:18">
      <c r="A212" t="s">
        <v>233</v>
      </c>
      <c r="B212" s="6">
        <v>46055.701944444401</v>
      </c>
      <c r="C212" s="7" t="s">
        <v>19</v>
      </c>
      <c r="D212" s="8">
        <f t="shared" si="6"/>
        <v>64</v>
      </c>
      <c r="E212" s="8">
        <v>64</v>
      </c>
      <c r="F212" s="8"/>
      <c r="G212" s="8">
        <v>133.81</v>
      </c>
      <c r="H212" s="8">
        <f t="shared" si="7"/>
        <v>468335</v>
      </c>
      <c r="I212" s="8">
        <v>20000</v>
      </c>
      <c r="J212" t="s">
        <v>84</v>
      </c>
      <c r="K212" s="12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</row>
    <row r="213" spans="1:18">
      <c r="A213" t="s">
        <v>234</v>
      </c>
      <c r="B213" s="6">
        <v>46053.466446759303</v>
      </c>
      <c r="C213" s="7" t="s">
        <v>19</v>
      </c>
      <c r="D213" s="8">
        <f t="shared" si="6"/>
        <v>47</v>
      </c>
      <c r="E213" s="8">
        <v>47</v>
      </c>
      <c r="F213" s="8"/>
      <c r="G213" s="8">
        <v>133.76</v>
      </c>
      <c r="H213" s="8">
        <f t="shared" si="7"/>
        <v>468160</v>
      </c>
      <c r="I213" s="8">
        <v>20000</v>
      </c>
      <c r="J213" t="s">
        <v>84</v>
      </c>
      <c r="K213" s="12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</row>
    <row r="214" spans="1:18">
      <c r="A214" t="s">
        <v>235</v>
      </c>
      <c r="B214" s="6">
        <v>46060.405729166698</v>
      </c>
      <c r="C214" s="7" t="s">
        <v>19</v>
      </c>
      <c r="D214" s="8">
        <f t="shared" si="6"/>
        <v>51</v>
      </c>
      <c r="E214" s="8">
        <v>51</v>
      </c>
      <c r="F214" s="8"/>
      <c r="G214" s="8">
        <v>133.63</v>
      </c>
      <c r="H214" s="8">
        <f t="shared" si="7"/>
        <v>467705</v>
      </c>
      <c r="I214" s="8">
        <v>20000</v>
      </c>
      <c r="J214" t="s">
        <v>84</v>
      </c>
      <c r="K214" s="12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</row>
    <row r="215" spans="1:18">
      <c r="A215" t="s">
        <v>236</v>
      </c>
      <c r="B215" s="6">
        <v>46062.953356481499</v>
      </c>
      <c r="C215" s="7" t="s">
        <v>19</v>
      </c>
      <c r="D215" s="8">
        <f t="shared" si="6"/>
        <v>65</v>
      </c>
      <c r="E215" s="8">
        <v>65</v>
      </c>
      <c r="F215" s="8"/>
      <c r="G215" s="8">
        <v>131.52000000000001</v>
      </c>
      <c r="H215" s="8">
        <f t="shared" si="7"/>
        <v>460320</v>
      </c>
      <c r="I215" s="8">
        <v>20000</v>
      </c>
      <c r="J215" t="s">
        <v>84</v>
      </c>
      <c r="K215" s="12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</row>
    <row r="216" spans="1:18">
      <c r="A216" t="s">
        <v>237</v>
      </c>
      <c r="B216" s="6">
        <v>46067.603599536997</v>
      </c>
      <c r="C216" s="7" t="s">
        <v>19</v>
      </c>
      <c r="D216" s="8">
        <f t="shared" si="6"/>
        <v>25</v>
      </c>
      <c r="E216" s="8">
        <v>25</v>
      </c>
      <c r="F216" s="8"/>
      <c r="G216" s="8">
        <v>130.44</v>
      </c>
      <c r="H216" s="8">
        <f t="shared" si="7"/>
        <v>456540</v>
      </c>
      <c r="I216" s="8">
        <v>20000</v>
      </c>
      <c r="J216" t="s">
        <v>84</v>
      </c>
      <c r="K216" s="12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</row>
    <row r="217" spans="1:18">
      <c r="A217" t="s">
        <v>238</v>
      </c>
      <c r="B217" s="6">
        <v>46064.933437500003</v>
      </c>
      <c r="C217" s="7" t="s">
        <v>19</v>
      </c>
      <c r="D217" s="8">
        <f t="shared" si="6"/>
        <v>55</v>
      </c>
      <c r="E217" s="8">
        <v>55</v>
      </c>
      <c r="F217" s="8"/>
      <c r="G217" s="8">
        <v>130.19</v>
      </c>
      <c r="H217" s="8">
        <f t="shared" si="7"/>
        <v>455665</v>
      </c>
      <c r="I217" s="8">
        <v>20000</v>
      </c>
      <c r="J217" t="s">
        <v>84</v>
      </c>
      <c r="K217" s="12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</row>
    <row r="218" spans="1:18">
      <c r="A218" t="s">
        <v>239</v>
      </c>
      <c r="B218" s="6">
        <v>46034.851331018501</v>
      </c>
      <c r="C218" s="7" t="s">
        <v>19</v>
      </c>
      <c r="D218" s="8">
        <f t="shared" si="6"/>
        <v>50</v>
      </c>
      <c r="E218" s="8">
        <v>50</v>
      </c>
      <c r="F218" s="8"/>
      <c r="G218" s="8">
        <v>130.08000000000001</v>
      </c>
      <c r="H218" s="8">
        <f t="shared" si="7"/>
        <v>455280</v>
      </c>
      <c r="I218" s="8">
        <v>20000</v>
      </c>
      <c r="J218" t="s">
        <v>84</v>
      </c>
      <c r="K218" s="12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</row>
    <row r="219" spans="1:18">
      <c r="A219" t="s">
        <v>240</v>
      </c>
      <c r="B219" s="6">
        <v>46030.379768518498</v>
      </c>
      <c r="C219" s="7" t="s">
        <v>19</v>
      </c>
      <c r="D219" s="8">
        <f t="shared" si="6"/>
        <v>54</v>
      </c>
      <c r="E219" s="8">
        <v>54</v>
      </c>
      <c r="F219" s="8"/>
      <c r="G219" s="8">
        <v>129.47999999999999</v>
      </c>
      <c r="H219" s="8">
        <f t="shared" si="7"/>
        <v>453180</v>
      </c>
      <c r="I219" s="8">
        <v>20000</v>
      </c>
      <c r="J219" t="s">
        <v>84</v>
      </c>
      <c r="K219" s="12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</row>
    <row r="220" spans="1:18">
      <c r="A220" t="s">
        <v>241</v>
      </c>
      <c r="B220" s="6">
        <v>45994.777951388904</v>
      </c>
      <c r="C220" s="7" t="s">
        <v>19</v>
      </c>
      <c r="D220" s="8">
        <f t="shared" si="6"/>
        <v>55</v>
      </c>
      <c r="E220" s="8">
        <v>55</v>
      </c>
      <c r="F220" s="8"/>
      <c r="G220" s="8">
        <v>129.38</v>
      </c>
      <c r="H220" s="8">
        <f t="shared" si="7"/>
        <v>452830</v>
      </c>
      <c r="I220" s="8">
        <v>20000</v>
      </c>
      <c r="J220" t="s">
        <v>84</v>
      </c>
      <c r="K220" s="12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</row>
    <row r="221" spans="1:18">
      <c r="A221" t="s">
        <v>242</v>
      </c>
      <c r="B221" s="6">
        <v>45979.703784722202</v>
      </c>
      <c r="C221" s="7" t="s">
        <v>19</v>
      </c>
      <c r="D221" s="8">
        <f t="shared" si="6"/>
        <v>23</v>
      </c>
      <c r="E221" s="8">
        <v>23</v>
      </c>
      <c r="F221" s="8"/>
      <c r="G221" s="8">
        <v>129.1</v>
      </c>
      <c r="H221" s="8">
        <f t="shared" si="7"/>
        <v>451850</v>
      </c>
      <c r="I221" s="8">
        <v>20000</v>
      </c>
      <c r="J221" t="s">
        <v>84</v>
      </c>
      <c r="K221" s="12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</row>
    <row r="222" spans="1:18">
      <c r="A222" t="s">
        <v>243</v>
      </c>
      <c r="B222" s="6">
        <v>46060.813113425902</v>
      </c>
      <c r="C222" s="7" t="s">
        <v>19</v>
      </c>
      <c r="D222" s="8">
        <f t="shared" si="6"/>
        <v>49</v>
      </c>
      <c r="E222" s="8">
        <v>49</v>
      </c>
      <c r="F222" s="8"/>
      <c r="G222" s="8">
        <v>128.56</v>
      </c>
      <c r="H222" s="8">
        <f t="shared" si="7"/>
        <v>449960</v>
      </c>
      <c r="I222" s="8">
        <v>20000</v>
      </c>
      <c r="J222" t="s">
        <v>84</v>
      </c>
      <c r="K222" s="12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</row>
    <row r="223" spans="1:18">
      <c r="A223" t="s">
        <v>244</v>
      </c>
      <c r="B223" s="6">
        <v>46021.842465277798</v>
      </c>
      <c r="C223" s="7" t="s">
        <v>19</v>
      </c>
      <c r="D223" s="8">
        <f t="shared" si="6"/>
        <v>61</v>
      </c>
      <c r="E223" s="8">
        <v>61</v>
      </c>
      <c r="F223" s="8"/>
      <c r="G223" s="8">
        <v>126.78</v>
      </c>
      <c r="H223" s="8">
        <f t="shared" si="7"/>
        <v>443730</v>
      </c>
      <c r="I223" s="8">
        <v>20000</v>
      </c>
      <c r="J223" t="s">
        <v>84</v>
      </c>
      <c r="K223" s="12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</row>
    <row r="224" spans="1:18">
      <c r="A224" t="s">
        <v>245</v>
      </c>
      <c r="B224" s="6">
        <v>46034.821145833303</v>
      </c>
      <c r="C224" s="7" t="s">
        <v>19</v>
      </c>
      <c r="D224" s="8">
        <f t="shared" si="6"/>
        <v>28</v>
      </c>
      <c r="E224" s="8">
        <v>28</v>
      </c>
      <c r="F224" s="8"/>
      <c r="G224" s="8">
        <v>126.55</v>
      </c>
      <c r="H224" s="8">
        <f t="shared" si="7"/>
        <v>442925</v>
      </c>
      <c r="I224" s="8">
        <v>20000</v>
      </c>
      <c r="J224" t="s">
        <v>84</v>
      </c>
      <c r="K224" s="12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</row>
    <row r="225" spans="1:18">
      <c r="A225" t="s">
        <v>246</v>
      </c>
      <c r="B225" s="6">
        <v>46061.4706828704</v>
      </c>
      <c r="C225" s="7" t="s">
        <v>19</v>
      </c>
      <c r="D225" s="8">
        <f t="shared" si="6"/>
        <v>37</v>
      </c>
      <c r="E225" s="8">
        <v>37</v>
      </c>
      <c r="F225" s="8"/>
      <c r="G225" s="8">
        <v>126.46</v>
      </c>
      <c r="H225" s="8">
        <f t="shared" si="7"/>
        <v>442610</v>
      </c>
      <c r="I225" s="8">
        <v>20000</v>
      </c>
      <c r="J225" t="s">
        <v>84</v>
      </c>
      <c r="K225" s="12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</row>
    <row r="226" spans="1:18">
      <c r="A226" t="s">
        <v>247</v>
      </c>
      <c r="B226" s="6">
        <v>46039.737129629597</v>
      </c>
      <c r="C226" s="7" t="s">
        <v>19</v>
      </c>
      <c r="D226" s="8">
        <f t="shared" si="6"/>
        <v>24</v>
      </c>
      <c r="E226" s="8">
        <v>24</v>
      </c>
      <c r="F226" s="8"/>
      <c r="G226" s="8">
        <v>125.77</v>
      </c>
      <c r="H226" s="8">
        <f t="shared" si="7"/>
        <v>440195</v>
      </c>
      <c r="I226" s="8">
        <v>20000</v>
      </c>
      <c r="J226" t="s">
        <v>84</v>
      </c>
      <c r="K226" s="12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</row>
    <row r="227" spans="1:18">
      <c r="A227" t="s">
        <v>248</v>
      </c>
      <c r="B227" s="6">
        <v>46066.132557870398</v>
      </c>
      <c r="C227" s="7" t="s">
        <v>19</v>
      </c>
      <c r="D227" s="8">
        <f t="shared" si="6"/>
        <v>32</v>
      </c>
      <c r="E227" s="8">
        <v>32</v>
      </c>
      <c r="F227" s="8"/>
      <c r="G227" s="8">
        <v>124.1</v>
      </c>
      <c r="H227" s="8">
        <f t="shared" si="7"/>
        <v>434350</v>
      </c>
      <c r="I227" s="8">
        <v>20000</v>
      </c>
      <c r="J227" t="s">
        <v>84</v>
      </c>
      <c r="K227" s="12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</row>
    <row r="228" spans="1:18">
      <c r="A228" t="s">
        <v>249</v>
      </c>
      <c r="B228" s="6">
        <v>46054.616030092599</v>
      </c>
      <c r="C228" s="7" t="s">
        <v>19</v>
      </c>
      <c r="D228" s="8">
        <f t="shared" si="6"/>
        <v>24</v>
      </c>
      <c r="E228" s="8">
        <v>24</v>
      </c>
      <c r="F228" s="8"/>
      <c r="G228" s="8">
        <v>124.07</v>
      </c>
      <c r="H228" s="8">
        <f t="shared" si="7"/>
        <v>434245</v>
      </c>
      <c r="I228" s="8">
        <v>20000</v>
      </c>
      <c r="J228" t="s">
        <v>84</v>
      </c>
      <c r="K228" s="12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</row>
    <row r="229" spans="1:18">
      <c r="A229" t="s">
        <v>250</v>
      </c>
      <c r="B229" s="6">
        <v>46062.377337963</v>
      </c>
      <c r="C229" s="7" t="s">
        <v>19</v>
      </c>
      <c r="D229" s="8">
        <f t="shared" si="6"/>
        <v>46</v>
      </c>
      <c r="E229" s="8">
        <v>46</v>
      </c>
      <c r="F229" s="8"/>
      <c r="G229" s="8">
        <v>122.91</v>
      </c>
      <c r="H229" s="8">
        <f t="shared" si="7"/>
        <v>430185</v>
      </c>
      <c r="I229" s="8">
        <v>20000</v>
      </c>
      <c r="J229" t="s">
        <v>84</v>
      </c>
      <c r="K229" s="12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</row>
    <row r="230" spans="1:18">
      <c r="A230" t="s">
        <v>251</v>
      </c>
      <c r="B230" s="6">
        <v>46059.904502314799</v>
      </c>
      <c r="C230" s="7" t="s">
        <v>19</v>
      </c>
      <c r="D230" s="8">
        <f t="shared" si="6"/>
        <v>63</v>
      </c>
      <c r="E230" s="8">
        <v>63</v>
      </c>
      <c r="F230" s="8"/>
      <c r="G230" s="8">
        <v>122.58</v>
      </c>
      <c r="H230" s="8">
        <f t="shared" si="7"/>
        <v>429030</v>
      </c>
      <c r="I230" s="8">
        <v>20000</v>
      </c>
      <c r="J230" t="s">
        <v>84</v>
      </c>
      <c r="K230" s="12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</row>
    <row r="231" spans="1:18">
      <c r="A231" t="s">
        <v>252</v>
      </c>
      <c r="B231" s="6">
        <v>46034.3617592593</v>
      </c>
      <c r="C231" s="7" t="s">
        <v>19</v>
      </c>
      <c r="D231" s="8">
        <f t="shared" si="6"/>
        <v>22</v>
      </c>
      <c r="E231" s="8">
        <v>22</v>
      </c>
      <c r="F231" s="8"/>
      <c r="G231" s="8">
        <v>120.82</v>
      </c>
      <c r="H231" s="8">
        <f t="shared" si="7"/>
        <v>422870</v>
      </c>
      <c r="I231" s="8">
        <v>20000</v>
      </c>
      <c r="J231" t="s">
        <v>84</v>
      </c>
      <c r="K231" s="12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</row>
    <row r="232" spans="1:18">
      <c r="A232" t="s">
        <v>253</v>
      </c>
      <c r="B232" s="6">
        <v>46021.835972222201</v>
      </c>
      <c r="C232" s="7" t="s">
        <v>19</v>
      </c>
      <c r="D232" s="8">
        <f t="shared" si="6"/>
        <v>28</v>
      </c>
      <c r="E232" s="8">
        <v>28</v>
      </c>
      <c r="F232" s="8"/>
      <c r="G232" s="8">
        <v>119.19</v>
      </c>
      <c r="H232" s="8">
        <f t="shared" si="7"/>
        <v>417165</v>
      </c>
      <c r="I232" s="8">
        <v>20000</v>
      </c>
      <c r="J232" t="s">
        <v>84</v>
      </c>
      <c r="K232" s="12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</row>
    <row r="233" spans="1:18">
      <c r="A233" t="s">
        <v>254</v>
      </c>
      <c r="B233" s="6">
        <v>46008.015844907401</v>
      </c>
      <c r="C233" s="7" t="s">
        <v>19</v>
      </c>
      <c r="D233" s="8">
        <f t="shared" si="6"/>
        <v>22</v>
      </c>
      <c r="E233" s="8">
        <v>22</v>
      </c>
      <c r="F233" s="8"/>
      <c r="G233" s="8">
        <v>118.94</v>
      </c>
      <c r="H233" s="8">
        <f t="shared" si="7"/>
        <v>416290</v>
      </c>
      <c r="I233" s="8">
        <v>20000</v>
      </c>
      <c r="J233" t="s">
        <v>84</v>
      </c>
      <c r="K233" s="12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</row>
    <row r="234" spans="1:18">
      <c r="A234" t="s">
        <v>255</v>
      </c>
      <c r="B234" s="6">
        <v>46051.512118055602</v>
      </c>
      <c r="C234" s="7" t="s">
        <v>19</v>
      </c>
      <c r="D234" s="8">
        <f t="shared" si="6"/>
        <v>48</v>
      </c>
      <c r="E234" s="8">
        <v>48</v>
      </c>
      <c r="F234" s="8"/>
      <c r="G234" s="8">
        <v>118.53</v>
      </c>
      <c r="H234" s="8">
        <f t="shared" si="7"/>
        <v>414855</v>
      </c>
      <c r="I234" s="8">
        <v>20000</v>
      </c>
      <c r="J234" t="s">
        <v>84</v>
      </c>
      <c r="K234" s="12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</row>
    <row r="235" spans="1:18">
      <c r="A235" t="s">
        <v>256</v>
      </c>
      <c r="B235" s="6">
        <v>46065.6248611111</v>
      </c>
      <c r="C235" s="7" t="s">
        <v>19</v>
      </c>
      <c r="D235" s="8">
        <f t="shared" si="6"/>
        <v>70</v>
      </c>
      <c r="E235" s="8">
        <v>70</v>
      </c>
      <c r="F235" s="8"/>
      <c r="G235" s="8">
        <v>118.43</v>
      </c>
      <c r="H235" s="8">
        <f t="shared" si="7"/>
        <v>414505</v>
      </c>
      <c r="I235" s="8">
        <v>20000</v>
      </c>
      <c r="J235" t="s">
        <v>84</v>
      </c>
      <c r="K235" s="12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</row>
    <row r="236" spans="1:18">
      <c r="A236" t="s">
        <v>257</v>
      </c>
      <c r="B236" s="6">
        <v>45959.766319444403</v>
      </c>
      <c r="C236" s="7" t="s">
        <v>19</v>
      </c>
      <c r="D236" s="8">
        <f t="shared" si="6"/>
        <v>37</v>
      </c>
      <c r="E236" s="8">
        <v>37</v>
      </c>
      <c r="F236" s="8"/>
      <c r="G236" s="8">
        <v>117.26</v>
      </c>
      <c r="H236" s="8">
        <f t="shared" si="7"/>
        <v>410410</v>
      </c>
      <c r="I236" s="8">
        <v>20000</v>
      </c>
      <c r="J236" t="s">
        <v>84</v>
      </c>
      <c r="K236" s="12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</row>
    <row r="237" spans="1:18">
      <c r="A237" t="s">
        <v>258</v>
      </c>
      <c r="B237" s="6">
        <v>46031.285046296303</v>
      </c>
      <c r="C237" s="7" t="s">
        <v>19</v>
      </c>
      <c r="D237" s="8">
        <f t="shared" si="6"/>
        <v>55</v>
      </c>
      <c r="E237" s="8">
        <v>55</v>
      </c>
      <c r="F237" s="8"/>
      <c r="G237" s="8">
        <v>116.6</v>
      </c>
      <c r="H237" s="8">
        <f t="shared" si="7"/>
        <v>408100</v>
      </c>
      <c r="I237" s="8">
        <v>20000</v>
      </c>
      <c r="J237" t="s">
        <v>84</v>
      </c>
      <c r="K237" s="12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</row>
    <row r="238" spans="1:18">
      <c r="A238" t="s">
        <v>259</v>
      </c>
      <c r="B238" s="6">
        <v>46054.773009259297</v>
      </c>
      <c r="C238" s="7" t="s">
        <v>19</v>
      </c>
      <c r="D238" s="8">
        <f t="shared" si="6"/>
        <v>34</v>
      </c>
      <c r="E238" s="8">
        <v>34</v>
      </c>
      <c r="F238" s="8"/>
      <c r="G238" s="8">
        <v>116.24</v>
      </c>
      <c r="H238" s="8">
        <f t="shared" si="7"/>
        <v>406840</v>
      </c>
      <c r="I238" s="8">
        <v>20000</v>
      </c>
      <c r="J238" t="s">
        <v>84</v>
      </c>
      <c r="K238" s="12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</row>
    <row r="239" spans="1:18">
      <c r="A239" t="s">
        <v>260</v>
      </c>
      <c r="B239" s="6">
        <v>45989.243275462999</v>
      </c>
      <c r="C239" s="7" t="s">
        <v>19</v>
      </c>
      <c r="D239" s="8">
        <f t="shared" si="6"/>
        <v>39</v>
      </c>
      <c r="E239" s="8">
        <v>39</v>
      </c>
      <c r="F239" s="8"/>
      <c r="G239" s="8">
        <v>114.18</v>
      </c>
      <c r="H239" s="8">
        <f t="shared" si="7"/>
        <v>399630</v>
      </c>
      <c r="I239" s="8">
        <v>10000</v>
      </c>
      <c r="J239" t="s">
        <v>261</v>
      </c>
      <c r="K239" s="12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</row>
    <row r="240" spans="1:18">
      <c r="A240" t="s">
        <v>262</v>
      </c>
      <c r="B240" s="6">
        <v>46060.3972222222</v>
      </c>
      <c r="C240" s="7" t="s">
        <v>19</v>
      </c>
      <c r="D240" s="8">
        <f t="shared" si="6"/>
        <v>63</v>
      </c>
      <c r="E240" s="8">
        <v>63</v>
      </c>
      <c r="F240" s="8"/>
      <c r="G240" s="8">
        <v>113.79</v>
      </c>
      <c r="H240" s="8">
        <f t="shared" si="7"/>
        <v>398265</v>
      </c>
      <c r="I240" s="8">
        <v>10000</v>
      </c>
      <c r="J240" t="s">
        <v>261</v>
      </c>
      <c r="K240" s="12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</row>
    <row r="241" spans="1:18">
      <c r="A241" t="s">
        <v>263</v>
      </c>
      <c r="B241" s="6">
        <v>46060.280590277798</v>
      </c>
      <c r="C241" s="7" t="s">
        <v>19</v>
      </c>
      <c r="D241" s="8">
        <f t="shared" si="6"/>
        <v>62</v>
      </c>
      <c r="E241" s="8">
        <v>62</v>
      </c>
      <c r="F241" s="8"/>
      <c r="G241" s="8">
        <v>113.56</v>
      </c>
      <c r="H241" s="8">
        <f t="shared" si="7"/>
        <v>397460</v>
      </c>
      <c r="I241" s="8">
        <v>10000</v>
      </c>
      <c r="J241" t="s">
        <v>261</v>
      </c>
      <c r="K241" s="12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</row>
    <row r="242" spans="1:18">
      <c r="A242" t="s">
        <v>264</v>
      </c>
      <c r="B242" s="6">
        <v>46005.378842592603</v>
      </c>
      <c r="C242" s="7" t="s">
        <v>19</v>
      </c>
      <c r="D242" s="8">
        <f t="shared" si="6"/>
        <v>28</v>
      </c>
      <c r="E242" s="8">
        <v>28</v>
      </c>
      <c r="F242" s="8"/>
      <c r="G242" s="8">
        <v>111.25</v>
      </c>
      <c r="H242" s="8">
        <f t="shared" si="7"/>
        <v>389375</v>
      </c>
      <c r="I242" s="8">
        <v>10000</v>
      </c>
      <c r="J242" t="s">
        <v>261</v>
      </c>
      <c r="K242" s="12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</row>
    <row r="243" spans="1:18">
      <c r="A243" t="s">
        <v>265</v>
      </c>
      <c r="B243" s="6">
        <v>46066.421261574098</v>
      </c>
      <c r="C243" s="7" t="s">
        <v>19</v>
      </c>
      <c r="D243" s="8">
        <f t="shared" si="6"/>
        <v>70</v>
      </c>
      <c r="E243" s="8">
        <v>70</v>
      </c>
      <c r="F243" s="8"/>
      <c r="G243" s="8">
        <v>111.21</v>
      </c>
      <c r="H243" s="8">
        <f t="shared" si="7"/>
        <v>389235</v>
      </c>
      <c r="I243" s="8">
        <v>10000</v>
      </c>
      <c r="J243" t="s">
        <v>261</v>
      </c>
      <c r="K243" s="12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</row>
    <row r="244" spans="1:18">
      <c r="A244" t="s">
        <v>266</v>
      </c>
      <c r="B244" s="6">
        <v>45999.768761574102</v>
      </c>
      <c r="C244" s="7" t="s">
        <v>19</v>
      </c>
      <c r="D244" s="8">
        <f t="shared" si="6"/>
        <v>53</v>
      </c>
      <c r="E244" s="8">
        <v>53</v>
      </c>
      <c r="F244" s="8"/>
      <c r="G244" s="8">
        <v>109.61</v>
      </c>
      <c r="H244" s="8">
        <f t="shared" si="7"/>
        <v>383635</v>
      </c>
      <c r="I244" s="8">
        <v>10000</v>
      </c>
      <c r="J244" t="s">
        <v>261</v>
      </c>
      <c r="K244" s="12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</row>
    <row r="245" spans="1:18">
      <c r="A245" t="s">
        <v>267</v>
      </c>
      <c r="B245" s="6">
        <v>46045.843819444402</v>
      </c>
      <c r="C245" s="7" t="s">
        <v>19</v>
      </c>
      <c r="D245" s="8">
        <f t="shared" si="6"/>
        <v>42</v>
      </c>
      <c r="E245" s="8">
        <v>42</v>
      </c>
      <c r="F245" s="8"/>
      <c r="G245" s="8">
        <v>108.25</v>
      </c>
      <c r="H245" s="8">
        <f t="shared" si="7"/>
        <v>378875</v>
      </c>
      <c r="I245" s="8">
        <v>10000</v>
      </c>
      <c r="J245" t="s">
        <v>261</v>
      </c>
      <c r="K245" s="12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</row>
    <row r="246" spans="1:18">
      <c r="A246" t="s">
        <v>268</v>
      </c>
      <c r="B246" s="6">
        <v>46050.769340277802</v>
      </c>
      <c r="C246" s="7" t="s">
        <v>19</v>
      </c>
      <c r="D246" s="8">
        <f t="shared" si="6"/>
        <v>41</v>
      </c>
      <c r="E246" s="8">
        <v>41</v>
      </c>
      <c r="F246" s="8"/>
      <c r="G246" s="8">
        <v>107.86</v>
      </c>
      <c r="H246" s="8">
        <f t="shared" si="7"/>
        <v>377510</v>
      </c>
      <c r="I246" s="8">
        <v>10000</v>
      </c>
      <c r="J246" t="s">
        <v>261</v>
      </c>
      <c r="K246" s="12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</row>
    <row r="247" spans="1:18">
      <c r="A247" t="s">
        <v>269</v>
      </c>
      <c r="B247" s="6">
        <v>46067.071365740703</v>
      </c>
      <c r="C247" s="7" t="s">
        <v>19</v>
      </c>
      <c r="D247" s="8">
        <f t="shared" si="6"/>
        <v>70</v>
      </c>
      <c r="E247" s="8">
        <v>70</v>
      </c>
      <c r="F247" s="8"/>
      <c r="G247" s="8">
        <v>107.6</v>
      </c>
      <c r="H247" s="8">
        <f t="shared" si="7"/>
        <v>376600</v>
      </c>
      <c r="I247" s="8">
        <v>10000</v>
      </c>
      <c r="J247" t="s">
        <v>261</v>
      </c>
      <c r="K247" s="12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</row>
    <row r="248" spans="1:18">
      <c r="A248" t="s">
        <v>270</v>
      </c>
      <c r="B248" s="6">
        <v>46052.237581018497</v>
      </c>
      <c r="C248" s="7" t="s">
        <v>19</v>
      </c>
      <c r="D248" s="8">
        <f t="shared" si="6"/>
        <v>27</v>
      </c>
      <c r="E248" s="8">
        <v>27</v>
      </c>
      <c r="F248" s="8"/>
      <c r="G248" s="8">
        <v>107.09</v>
      </c>
      <c r="H248" s="8">
        <f t="shared" si="7"/>
        <v>374815</v>
      </c>
      <c r="I248" s="8">
        <v>10000</v>
      </c>
      <c r="J248" t="s">
        <v>261</v>
      </c>
      <c r="K248" s="12">
        <v>1</v>
      </c>
      <c r="L248" s="11">
        <v>3.35</v>
      </c>
      <c r="M248" s="11">
        <v>3.35</v>
      </c>
      <c r="N248" s="11">
        <v>3.35</v>
      </c>
      <c r="O248" s="11">
        <v>3.35</v>
      </c>
      <c r="P248" s="11">
        <v>0</v>
      </c>
      <c r="Q248" s="11">
        <v>3.35</v>
      </c>
      <c r="R248" s="11">
        <v>0</v>
      </c>
    </row>
    <row r="249" spans="1:18">
      <c r="A249" t="s">
        <v>271</v>
      </c>
      <c r="B249" s="6">
        <v>46049.4774189815</v>
      </c>
      <c r="C249" s="7" t="s">
        <v>19</v>
      </c>
      <c r="D249" s="8">
        <f t="shared" si="6"/>
        <v>58</v>
      </c>
      <c r="E249" s="8">
        <v>58</v>
      </c>
      <c r="F249" s="8"/>
      <c r="G249" s="8">
        <v>106.96</v>
      </c>
      <c r="H249" s="8">
        <f t="shared" si="7"/>
        <v>374360</v>
      </c>
      <c r="I249" s="8">
        <v>10000</v>
      </c>
      <c r="J249" t="s">
        <v>261</v>
      </c>
      <c r="K249" s="12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</row>
    <row r="250" spans="1:18">
      <c r="A250" t="s">
        <v>272</v>
      </c>
      <c r="B250" s="6">
        <v>46060.265428240702</v>
      </c>
      <c r="C250" s="7" t="s">
        <v>19</v>
      </c>
      <c r="D250" s="8">
        <f t="shared" si="6"/>
        <v>28</v>
      </c>
      <c r="E250" s="8">
        <v>28</v>
      </c>
      <c r="F250" s="8"/>
      <c r="G250" s="8">
        <v>106.87</v>
      </c>
      <c r="H250" s="8">
        <f t="shared" si="7"/>
        <v>374045</v>
      </c>
      <c r="I250" s="8">
        <v>10000</v>
      </c>
      <c r="J250" t="s">
        <v>261</v>
      </c>
      <c r="K250" s="12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</row>
    <row r="251" spans="1:18">
      <c r="A251" t="s">
        <v>273</v>
      </c>
      <c r="B251" s="6">
        <v>46054.596342592602</v>
      </c>
      <c r="C251" s="7" t="s">
        <v>19</v>
      </c>
      <c r="D251" s="8">
        <f t="shared" si="6"/>
        <v>39</v>
      </c>
      <c r="E251" s="8">
        <v>39</v>
      </c>
      <c r="F251" s="8"/>
      <c r="G251" s="8">
        <v>104.38</v>
      </c>
      <c r="H251" s="8">
        <f t="shared" si="7"/>
        <v>365330</v>
      </c>
      <c r="I251" s="8">
        <v>10000</v>
      </c>
      <c r="J251" t="s">
        <v>261</v>
      </c>
      <c r="K251" s="12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</row>
    <row r="252" spans="1:18">
      <c r="A252" t="s">
        <v>274</v>
      </c>
      <c r="B252" s="6">
        <v>46065.388668981497</v>
      </c>
      <c r="C252" s="7" t="s">
        <v>19</v>
      </c>
      <c r="D252" s="8">
        <f t="shared" si="6"/>
        <v>35</v>
      </c>
      <c r="E252" s="8">
        <v>35</v>
      </c>
      <c r="F252" s="8"/>
      <c r="G252" s="8">
        <v>103.81</v>
      </c>
      <c r="H252" s="8">
        <f t="shared" si="7"/>
        <v>363335</v>
      </c>
      <c r="I252" s="8">
        <v>10000</v>
      </c>
      <c r="J252" t="s">
        <v>261</v>
      </c>
      <c r="K252" s="12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</row>
    <row r="253" spans="1:18">
      <c r="A253" t="s">
        <v>275</v>
      </c>
      <c r="B253" s="6">
        <v>46067.597384259301</v>
      </c>
      <c r="C253" s="7" t="s">
        <v>19</v>
      </c>
      <c r="D253" s="8">
        <f t="shared" si="6"/>
        <v>24</v>
      </c>
      <c r="E253" s="8">
        <v>24</v>
      </c>
      <c r="F253" s="8"/>
      <c r="G253" s="8">
        <v>103.09</v>
      </c>
      <c r="H253" s="8">
        <f t="shared" si="7"/>
        <v>360815</v>
      </c>
      <c r="I253" s="8">
        <v>10000</v>
      </c>
      <c r="J253" t="s">
        <v>261</v>
      </c>
      <c r="K253" s="12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</row>
    <row r="254" spans="1:18">
      <c r="A254" t="s">
        <v>276</v>
      </c>
      <c r="B254" s="6">
        <v>46063.5772222222</v>
      </c>
      <c r="C254" s="7" t="s">
        <v>19</v>
      </c>
      <c r="D254" s="8">
        <f t="shared" si="6"/>
        <v>31</v>
      </c>
      <c r="E254" s="8">
        <v>31</v>
      </c>
      <c r="F254" s="8"/>
      <c r="G254" s="8">
        <v>102.89</v>
      </c>
      <c r="H254" s="8">
        <f t="shared" si="7"/>
        <v>360115</v>
      </c>
      <c r="I254" s="8">
        <v>10000</v>
      </c>
      <c r="J254" t="s">
        <v>261</v>
      </c>
      <c r="K254" s="12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</row>
    <row r="255" spans="1:18">
      <c r="A255" t="s">
        <v>277</v>
      </c>
      <c r="B255" s="6">
        <v>46058.337569444397</v>
      </c>
      <c r="C255" s="7" t="s">
        <v>19</v>
      </c>
      <c r="D255" s="8">
        <f t="shared" si="6"/>
        <v>58</v>
      </c>
      <c r="E255" s="8">
        <v>58</v>
      </c>
      <c r="F255" s="8"/>
      <c r="G255" s="8">
        <v>102.37</v>
      </c>
      <c r="H255" s="8">
        <f t="shared" si="7"/>
        <v>358295</v>
      </c>
      <c r="I255" s="8">
        <v>10000</v>
      </c>
      <c r="J255" t="s">
        <v>261</v>
      </c>
      <c r="K255" s="12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</row>
    <row r="256" spans="1:18">
      <c r="A256" t="s">
        <v>278</v>
      </c>
      <c r="B256" s="6">
        <v>46029.938206018502</v>
      </c>
      <c r="C256" s="7" t="s">
        <v>19</v>
      </c>
      <c r="D256" s="8">
        <f t="shared" si="6"/>
        <v>26</v>
      </c>
      <c r="E256" s="8">
        <v>26</v>
      </c>
      <c r="F256" s="8"/>
      <c r="G256" s="8">
        <v>102.18</v>
      </c>
      <c r="H256" s="8">
        <f t="shared" si="7"/>
        <v>357630</v>
      </c>
      <c r="I256" s="8">
        <v>10000</v>
      </c>
      <c r="J256" t="s">
        <v>261</v>
      </c>
      <c r="K256" s="12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</row>
    <row r="257" spans="1:18">
      <c r="A257" t="s">
        <v>279</v>
      </c>
      <c r="B257" s="6">
        <v>46066.642222222203</v>
      </c>
      <c r="C257" s="7" t="s">
        <v>19</v>
      </c>
      <c r="D257" s="8">
        <f t="shared" si="6"/>
        <v>50</v>
      </c>
      <c r="E257" s="8">
        <v>50</v>
      </c>
      <c r="F257" s="8"/>
      <c r="G257" s="8">
        <v>101.83</v>
      </c>
      <c r="H257" s="8">
        <f t="shared" si="7"/>
        <v>356405</v>
      </c>
      <c r="I257" s="8">
        <v>10000</v>
      </c>
      <c r="J257" t="s">
        <v>261</v>
      </c>
      <c r="K257" s="12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</row>
    <row r="258" spans="1:18">
      <c r="A258" t="s">
        <v>280</v>
      </c>
      <c r="B258" s="6">
        <v>46029.848229166702</v>
      </c>
      <c r="C258" s="7" t="s">
        <v>19</v>
      </c>
      <c r="D258" s="8">
        <f t="shared" ref="D258:D321" si="8">E258+F258</f>
        <v>60</v>
      </c>
      <c r="E258" s="8">
        <v>60</v>
      </c>
      <c r="F258" s="8"/>
      <c r="G258" s="8">
        <v>101.49</v>
      </c>
      <c r="H258" s="8">
        <f t="shared" ref="H258:H321" si="9">G258*3500</f>
        <v>355215</v>
      </c>
      <c r="I258" s="8">
        <v>10000</v>
      </c>
      <c r="J258" t="s">
        <v>261</v>
      </c>
      <c r="K258" s="12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</row>
    <row r="259" spans="1:18">
      <c r="A259" t="s">
        <v>281</v>
      </c>
      <c r="B259" s="6">
        <v>46051.406319444402</v>
      </c>
      <c r="C259" s="7" t="s">
        <v>19</v>
      </c>
      <c r="D259" s="8">
        <f t="shared" si="8"/>
        <v>55</v>
      </c>
      <c r="E259" s="8">
        <v>55</v>
      </c>
      <c r="F259" s="8"/>
      <c r="G259" s="8">
        <v>100.85</v>
      </c>
      <c r="H259" s="8">
        <f t="shared" si="9"/>
        <v>352975</v>
      </c>
      <c r="I259" s="8">
        <v>10000</v>
      </c>
      <c r="J259" t="s">
        <v>261</v>
      </c>
      <c r="K259" s="12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</row>
    <row r="260" spans="1:18">
      <c r="A260" t="s">
        <v>282</v>
      </c>
      <c r="B260" s="6">
        <v>46050.752997685202</v>
      </c>
      <c r="C260" s="7" t="s">
        <v>19</v>
      </c>
      <c r="D260" s="8">
        <f t="shared" si="8"/>
        <v>31</v>
      </c>
      <c r="E260" s="8">
        <v>31</v>
      </c>
      <c r="F260" s="8"/>
      <c r="G260" s="8">
        <v>100.8</v>
      </c>
      <c r="H260" s="8">
        <f t="shared" si="9"/>
        <v>352800</v>
      </c>
      <c r="I260" s="8">
        <v>10000</v>
      </c>
      <c r="J260" t="s">
        <v>261</v>
      </c>
      <c r="K260" s="12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</row>
    <row r="261" spans="1:18">
      <c r="A261" t="s">
        <v>283</v>
      </c>
      <c r="B261" s="6">
        <v>46062.844710648104</v>
      </c>
      <c r="C261" s="7" t="s">
        <v>19</v>
      </c>
      <c r="D261" s="8">
        <f t="shared" si="8"/>
        <v>46</v>
      </c>
      <c r="E261" s="8">
        <v>46</v>
      </c>
      <c r="F261" s="8"/>
      <c r="G261" s="8">
        <v>98.81</v>
      </c>
      <c r="H261" s="8">
        <f t="shared" si="9"/>
        <v>345835</v>
      </c>
      <c r="I261" s="8">
        <v>10000</v>
      </c>
      <c r="J261" t="s">
        <v>261</v>
      </c>
      <c r="K261" s="12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</row>
    <row r="262" spans="1:18">
      <c r="A262" t="s">
        <v>284</v>
      </c>
      <c r="B262" s="6">
        <v>46043.538888888899</v>
      </c>
      <c r="C262" s="7" t="s">
        <v>19</v>
      </c>
      <c r="D262" s="8">
        <f t="shared" si="8"/>
        <v>23</v>
      </c>
      <c r="E262" s="8">
        <v>23</v>
      </c>
      <c r="F262" s="8"/>
      <c r="G262" s="8">
        <v>98.67</v>
      </c>
      <c r="H262" s="8">
        <f t="shared" si="9"/>
        <v>345345</v>
      </c>
      <c r="I262" s="8">
        <v>10000</v>
      </c>
      <c r="J262" t="s">
        <v>261</v>
      </c>
      <c r="K262" s="12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</row>
    <row r="263" spans="1:18">
      <c r="A263" t="s">
        <v>285</v>
      </c>
      <c r="B263" s="6">
        <v>46052.002418981501</v>
      </c>
      <c r="C263" s="7" t="s">
        <v>19</v>
      </c>
      <c r="D263" s="8">
        <f t="shared" si="8"/>
        <v>22</v>
      </c>
      <c r="E263" s="8">
        <v>22</v>
      </c>
      <c r="F263" s="8"/>
      <c r="G263" s="8">
        <v>98.37</v>
      </c>
      <c r="H263" s="8">
        <f t="shared" si="9"/>
        <v>344295</v>
      </c>
      <c r="I263" s="8">
        <v>10000</v>
      </c>
      <c r="J263" t="s">
        <v>261</v>
      </c>
      <c r="K263" s="12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</row>
    <row r="264" spans="1:18">
      <c r="A264" t="s">
        <v>286</v>
      </c>
      <c r="B264" s="6">
        <v>46051.589583333298</v>
      </c>
      <c r="C264" s="7" t="s">
        <v>19</v>
      </c>
      <c r="D264" s="8">
        <f t="shared" si="8"/>
        <v>50</v>
      </c>
      <c r="E264" s="8">
        <v>50</v>
      </c>
      <c r="F264" s="8"/>
      <c r="G264" s="8">
        <v>98.02</v>
      </c>
      <c r="H264" s="8">
        <f t="shared" si="9"/>
        <v>343070</v>
      </c>
      <c r="I264" s="8">
        <v>10000</v>
      </c>
      <c r="J264" t="s">
        <v>261</v>
      </c>
      <c r="K264" s="12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</row>
    <row r="265" spans="1:18">
      <c r="A265" t="s">
        <v>287</v>
      </c>
      <c r="B265" s="6">
        <v>45947.257974537002</v>
      </c>
      <c r="C265" s="7" t="s">
        <v>19</v>
      </c>
      <c r="D265" s="8">
        <f t="shared" si="8"/>
        <v>63</v>
      </c>
      <c r="E265" s="8">
        <v>63</v>
      </c>
      <c r="F265" s="8"/>
      <c r="G265" s="8">
        <v>96.91</v>
      </c>
      <c r="H265" s="8">
        <f t="shared" si="9"/>
        <v>339185</v>
      </c>
      <c r="I265" s="8">
        <v>10000</v>
      </c>
      <c r="J265" t="s">
        <v>261</v>
      </c>
      <c r="K265" s="12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</row>
    <row r="266" spans="1:18">
      <c r="A266" t="s">
        <v>288</v>
      </c>
      <c r="B266" s="6">
        <v>45970.463148148097</v>
      </c>
      <c r="C266" s="7" t="s">
        <v>19</v>
      </c>
      <c r="D266" s="8">
        <f t="shared" si="8"/>
        <v>71</v>
      </c>
      <c r="E266" s="8">
        <v>71</v>
      </c>
      <c r="F266" s="8"/>
      <c r="G266" s="8">
        <v>96.65</v>
      </c>
      <c r="H266" s="8">
        <f t="shared" si="9"/>
        <v>338275</v>
      </c>
      <c r="I266" s="8">
        <v>10000</v>
      </c>
      <c r="J266" t="s">
        <v>261</v>
      </c>
      <c r="K266" s="12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</row>
    <row r="267" spans="1:18">
      <c r="A267" t="s">
        <v>289</v>
      </c>
      <c r="B267" s="6">
        <v>46034.685960648101</v>
      </c>
      <c r="C267" s="7" t="s">
        <v>19</v>
      </c>
      <c r="D267" s="8">
        <f t="shared" si="8"/>
        <v>36</v>
      </c>
      <c r="E267" s="8">
        <v>36</v>
      </c>
      <c r="F267" s="8"/>
      <c r="G267" s="8">
        <v>96.65</v>
      </c>
      <c r="H267" s="8">
        <f t="shared" si="9"/>
        <v>338275</v>
      </c>
      <c r="I267" s="8">
        <v>10000</v>
      </c>
      <c r="J267" t="s">
        <v>261</v>
      </c>
      <c r="K267" s="12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</row>
    <row r="268" spans="1:18">
      <c r="A268" t="s">
        <v>290</v>
      </c>
      <c r="B268" s="6">
        <v>46058.781446759298</v>
      </c>
      <c r="C268" s="7" t="s">
        <v>19</v>
      </c>
      <c r="D268" s="8">
        <f t="shared" si="8"/>
        <v>40</v>
      </c>
      <c r="E268" s="8">
        <v>40</v>
      </c>
      <c r="F268" s="8"/>
      <c r="G268" s="8">
        <v>95.82</v>
      </c>
      <c r="H268" s="8">
        <f t="shared" si="9"/>
        <v>335370</v>
      </c>
      <c r="I268" s="8">
        <v>10000</v>
      </c>
      <c r="J268" t="s">
        <v>261</v>
      </c>
      <c r="K268" s="12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</row>
    <row r="269" spans="1:18">
      <c r="A269" t="s">
        <v>291</v>
      </c>
      <c r="B269" s="6">
        <v>46028.609351851897</v>
      </c>
      <c r="C269" s="7" t="s">
        <v>19</v>
      </c>
      <c r="D269" s="8">
        <f t="shared" si="8"/>
        <v>22</v>
      </c>
      <c r="E269" s="8">
        <v>22</v>
      </c>
      <c r="F269" s="8"/>
      <c r="G269" s="8">
        <v>95.62</v>
      </c>
      <c r="H269" s="8">
        <f t="shared" si="9"/>
        <v>334670</v>
      </c>
      <c r="I269" s="8">
        <v>10000</v>
      </c>
      <c r="J269" t="s">
        <v>261</v>
      </c>
      <c r="K269" s="12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</row>
    <row r="270" spans="1:18">
      <c r="A270" t="s">
        <v>292</v>
      </c>
      <c r="B270" s="6">
        <v>46022.591793981497</v>
      </c>
      <c r="C270" s="7" t="s">
        <v>19</v>
      </c>
      <c r="D270" s="8">
        <f t="shared" si="8"/>
        <v>24</v>
      </c>
      <c r="E270" s="8">
        <v>24</v>
      </c>
      <c r="F270" s="8"/>
      <c r="G270" s="8">
        <v>95.29</v>
      </c>
      <c r="H270" s="8">
        <f t="shared" si="9"/>
        <v>333515</v>
      </c>
      <c r="I270" s="8">
        <v>10000</v>
      </c>
      <c r="J270" t="s">
        <v>261</v>
      </c>
      <c r="K270" s="12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</row>
    <row r="271" spans="1:18">
      <c r="A271" t="s">
        <v>293</v>
      </c>
      <c r="B271" s="6">
        <v>46046.673310185201</v>
      </c>
      <c r="C271" s="7" t="s">
        <v>19</v>
      </c>
      <c r="D271" s="8">
        <f t="shared" si="8"/>
        <v>32</v>
      </c>
      <c r="E271" s="8">
        <v>32</v>
      </c>
      <c r="F271" s="8"/>
      <c r="G271" s="8">
        <v>94.59</v>
      </c>
      <c r="H271" s="8">
        <f t="shared" si="9"/>
        <v>331065</v>
      </c>
      <c r="I271" s="8">
        <v>10000</v>
      </c>
      <c r="J271" t="s">
        <v>261</v>
      </c>
      <c r="K271" s="12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</row>
    <row r="272" spans="1:18">
      <c r="A272" t="s">
        <v>294</v>
      </c>
      <c r="B272" s="6">
        <v>46037.067210648202</v>
      </c>
      <c r="C272" s="7" t="s">
        <v>19</v>
      </c>
      <c r="D272" s="8">
        <f t="shared" si="8"/>
        <v>82</v>
      </c>
      <c r="E272" s="8">
        <v>82</v>
      </c>
      <c r="F272" s="8"/>
      <c r="G272" s="8">
        <v>94.54</v>
      </c>
      <c r="H272" s="8">
        <f t="shared" si="9"/>
        <v>330890</v>
      </c>
      <c r="I272" s="8">
        <v>10000</v>
      </c>
      <c r="J272" t="s">
        <v>261</v>
      </c>
      <c r="K272" s="12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0</v>
      </c>
      <c r="R272" s="11">
        <v>0</v>
      </c>
    </row>
    <row r="273" spans="1:18">
      <c r="A273" t="s">
        <v>295</v>
      </c>
      <c r="B273" s="6">
        <v>46063.222974536999</v>
      </c>
      <c r="C273" s="7" t="s">
        <v>19</v>
      </c>
      <c r="D273" s="8">
        <f t="shared" si="8"/>
        <v>38</v>
      </c>
      <c r="E273" s="8">
        <v>38</v>
      </c>
      <c r="F273" s="8"/>
      <c r="G273" s="8">
        <v>94.33</v>
      </c>
      <c r="H273" s="8">
        <f t="shared" si="9"/>
        <v>330155</v>
      </c>
      <c r="I273" s="8">
        <v>10000</v>
      </c>
      <c r="J273" t="s">
        <v>261</v>
      </c>
      <c r="K273" s="12">
        <v>1</v>
      </c>
      <c r="L273" s="11">
        <v>18.04</v>
      </c>
      <c r="M273" s="11">
        <v>17.850000000000001</v>
      </c>
      <c r="N273" s="11">
        <v>17.850000000000001</v>
      </c>
      <c r="O273" s="11">
        <v>17.850000000000001</v>
      </c>
      <c r="P273" s="11">
        <v>0</v>
      </c>
      <c r="Q273" s="11">
        <v>17.850000000000001</v>
      </c>
      <c r="R273" s="11">
        <v>0</v>
      </c>
    </row>
    <row r="274" spans="1:18">
      <c r="A274" t="s">
        <v>296</v>
      </c>
      <c r="B274" s="6">
        <v>46008.964629629598</v>
      </c>
      <c r="C274" s="7" t="s">
        <v>19</v>
      </c>
      <c r="D274" s="8">
        <f t="shared" si="8"/>
        <v>34</v>
      </c>
      <c r="E274" s="8">
        <v>34</v>
      </c>
      <c r="F274" s="8"/>
      <c r="G274" s="8">
        <v>93.38</v>
      </c>
      <c r="H274" s="8">
        <f t="shared" si="9"/>
        <v>326830</v>
      </c>
      <c r="I274" s="8">
        <v>10000</v>
      </c>
      <c r="J274" t="s">
        <v>261</v>
      </c>
      <c r="K274" s="12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</row>
    <row r="275" spans="1:18">
      <c r="A275" t="s">
        <v>297</v>
      </c>
      <c r="B275" s="6">
        <v>46065.888090277796</v>
      </c>
      <c r="C275" s="7" t="s">
        <v>19</v>
      </c>
      <c r="D275" s="8">
        <f t="shared" si="8"/>
        <v>25</v>
      </c>
      <c r="E275" s="8">
        <v>25</v>
      </c>
      <c r="F275" s="8"/>
      <c r="G275" s="8">
        <v>93</v>
      </c>
      <c r="H275" s="8">
        <f t="shared" si="9"/>
        <v>325500</v>
      </c>
      <c r="I275" s="8">
        <v>10000</v>
      </c>
      <c r="J275" t="s">
        <v>261</v>
      </c>
      <c r="K275" s="12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</row>
    <row r="276" spans="1:18">
      <c r="A276" t="s">
        <v>298</v>
      </c>
      <c r="B276" s="6">
        <v>46060.525162037004</v>
      </c>
      <c r="C276" s="7" t="s">
        <v>19</v>
      </c>
      <c r="D276" s="8">
        <f t="shared" si="8"/>
        <v>27</v>
      </c>
      <c r="E276" s="8">
        <v>27</v>
      </c>
      <c r="F276" s="8"/>
      <c r="G276" s="8">
        <v>91.24</v>
      </c>
      <c r="H276" s="8">
        <f t="shared" si="9"/>
        <v>319340</v>
      </c>
      <c r="I276" s="8">
        <v>10000</v>
      </c>
      <c r="J276" t="s">
        <v>261</v>
      </c>
      <c r="K276" s="12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</row>
    <row r="277" spans="1:18">
      <c r="A277" t="s">
        <v>299</v>
      </c>
      <c r="B277" s="6">
        <v>46021.690428240698</v>
      </c>
      <c r="C277" s="7" t="s">
        <v>19</v>
      </c>
      <c r="D277" s="8">
        <f t="shared" si="8"/>
        <v>33</v>
      </c>
      <c r="E277" s="8">
        <v>33</v>
      </c>
      <c r="F277" s="8"/>
      <c r="G277" s="8">
        <v>91.13</v>
      </c>
      <c r="H277" s="8">
        <f t="shared" si="9"/>
        <v>318955</v>
      </c>
      <c r="I277" s="8">
        <v>10000</v>
      </c>
      <c r="J277" t="s">
        <v>261</v>
      </c>
      <c r="K277" s="12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</row>
    <row r="278" spans="1:18">
      <c r="A278" t="s">
        <v>300</v>
      </c>
      <c r="B278" s="6">
        <v>45969.625023148103</v>
      </c>
      <c r="C278" s="7" t="s">
        <v>19</v>
      </c>
      <c r="D278" s="8">
        <f t="shared" si="8"/>
        <v>52</v>
      </c>
      <c r="E278" s="8">
        <v>52</v>
      </c>
      <c r="F278" s="8"/>
      <c r="G278" s="8">
        <v>90.46</v>
      </c>
      <c r="H278" s="8">
        <f t="shared" si="9"/>
        <v>316610</v>
      </c>
      <c r="I278" s="8">
        <v>10000</v>
      </c>
      <c r="J278" t="s">
        <v>261</v>
      </c>
      <c r="K278" s="12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0</v>
      </c>
      <c r="R278" s="11">
        <v>0</v>
      </c>
    </row>
    <row r="279" spans="1:18">
      <c r="A279" t="s">
        <v>301</v>
      </c>
      <c r="B279" s="6">
        <v>46005.887442129599</v>
      </c>
      <c r="C279" s="7" t="s">
        <v>19</v>
      </c>
      <c r="D279" s="8">
        <f t="shared" si="8"/>
        <v>28</v>
      </c>
      <c r="E279" s="8">
        <v>28</v>
      </c>
      <c r="F279" s="8"/>
      <c r="G279" s="8">
        <v>88.27</v>
      </c>
      <c r="H279" s="8">
        <f t="shared" si="9"/>
        <v>308945</v>
      </c>
      <c r="I279" s="8">
        <v>10000</v>
      </c>
      <c r="J279" t="s">
        <v>261</v>
      </c>
      <c r="K279" s="12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</row>
    <row r="280" spans="1:18">
      <c r="A280" t="s">
        <v>302</v>
      </c>
      <c r="B280" s="6">
        <v>45962.528842592597</v>
      </c>
      <c r="C280" s="7" t="s">
        <v>19</v>
      </c>
      <c r="D280" s="8">
        <f t="shared" si="8"/>
        <v>36</v>
      </c>
      <c r="E280" s="8">
        <v>36</v>
      </c>
      <c r="F280" s="8"/>
      <c r="G280" s="8">
        <v>87.89</v>
      </c>
      <c r="H280" s="8">
        <f t="shared" si="9"/>
        <v>307615</v>
      </c>
      <c r="I280" s="8">
        <v>10000</v>
      </c>
      <c r="J280" t="s">
        <v>261</v>
      </c>
      <c r="K280" s="12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</row>
    <row r="281" spans="1:18">
      <c r="A281" t="s">
        <v>303</v>
      </c>
      <c r="B281" s="6">
        <v>46029.812708333302</v>
      </c>
      <c r="C281" s="7" t="s">
        <v>19</v>
      </c>
      <c r="D281" s="8">
        <f t="shared" si="8"/>
        <v>54</v>
      </c>
      <c r="E281" s="8">
        <v>54</v>
      </c>
      <c r="F281" s="8"/>
      <c r="G281" s="8">
        <v>87.37</v>
      </c>
      <c r="H281" s="8">
        <f t="shared" si="9"/>
        <v>305795</v>
      </c>
      <c r="I281" s="8">
        <v>10000</v>
      </c>
      <c r="J281" t="s">
        <v>261</v>
      </c>
      <c r="K281" s="12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</row>
    <row r="282" spans="1:18">
      <c r="A282" t="s">
        <v>304</v>
      </c>
      <c r="B282" s="6">
        <v>46068.520717592597</v>
      </c>
      <c r="C282" s="7" t="s">
        <v>19</v>
      </c>
      <c r="D282" s="8">
        <f t="shared" si="8"/>
        <v>49</v>
      </c>
      <c r="E282" s="8">
        <v>49</v>
      </c>
      <c r="F282" s="8"/>
      <c r="G282" s="8">
        <v>87.27</v>
      </c>
      <c r="H282" s="8">
        <f t="shared" si="9"/>
        <v>305445</v>
      </c>
      <c r="I282" s="8">
        <v>10000</v>
      </c>
      <c r="J282" t="s">
        <v>261</v>
      </c>
      <c r="K282" s="12">
        <v>0</v>
      </c>
      <c r="L282" s="11">
        <v>0</v>
      </c>
      <c r="M282" s="11">
        <v>0</v>
      </c>
      <c r="N282" s="11">
        <v>0</v>
      </c>
      <c r="O282" s="11">
        <v>0</v>
      </c>
      <c r="P282" s="11">
        <v>0</v>
      </c>
      <c r="Q282" s="11">
        <v>0</v>
      </c>
      <c r="R282" s="11">
        <v>0</v>
      </c>
    </row>
    <row r="283" spans="1:18">
      <c r="A283" t="s">
        <v>305</v>
      </c>
      <c r="B283" s="6">
        <v>46002.728773148097</v>
      </c>
      <c r="C283" s="7" t="s">
        <v>19</v>
      </c>
      <c r="D283" s="8">
        <f t="shared" si="8"/>
        <v>37</v>
      </c>
      <c r="E283" s="8">
        <v>37</v>
      </c>
      <c r="F283" s="8"/>
      <c r="G283" s="8">
        <v>86.86</v>
      </c>
      <c r="H283" s="8">
        <f t="shared" si="9"/>
        <v>304010</v>
      </c>
      <c r="I283" s="8">
        <v>10000</v>
      </c>
      <c r="J283" t="s">
        <v>261</v>
      </c>
      <c r="K283" s="12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</row>
    <row r="284" spans="1:18">
      <c r="A284" t="s">
        <v>306</v>
      </c>
      <c r="B284" s="6">
        <v>45983.572210648097</v>
      </c>
      <c r="C284" s="7" t="s">
        <v>19</v>
      </c>
      <c r="D284" s="8">
        <f t="shared" si="8"/>
        <v>34</v>
      </c>
      <c r="E284" s="8">
        <v>34</v>
      </c>
      <c r="F284" s="8"/>
      <c r="G284" s="8">
        <v>86.49</v>
      </c>
      <c r="H284" s="8">
        <f t="shared" si="9"/>
        <v>302715</v>
      </c>
      <c r="I284" s="8">
        <v>10000</v>
      </c>
      <c r="J284" t="s">
        <v>261</v>
      </c>
      <c r="K284" s="12">
        <v>0</v>
      </c>
      <c r="L284" s="11">
        <v>0</v>
      </c>
      <c r="M284" s="11">
        <v>0</v>
      </c>
      <c r="N284" s="11">
        <v>0</v>
      </c>
      <c r="O284" s="11">
        <v>0</v>
      </c>
      <c r="P284" s="11">
        <v>0</v>
      </c>
      <c r="Q284" s="11">
        <v>0</v>
      </c>
      <c r="R284" s="11">
        <v>0</v>
      </c>
    </row>
    <row r="285" spans="1:18">
      <c r="A285" t="s">
        <v>307</v>
      </c>
      <c r="B285" s="6">
        <v>46069.465034722198</v>
      </c>
      <c r="C285" s="7" t="s">
        <v>19</v>
      </c>
      <c r="D285" s="8">
        <f t="shared" si="8"/>
        <v>35</v>
      </c>
      <c r="E285" s="8">
        <v>35</v>
      </c>
      <c r="F285" s="8"/>
      <c r="G285" s="8">
        <v>86.43</v>
      </c>
      <c r="H285" s="8">
        <f t="shared" si="9"/>
        <v>302505</v>
      </c>
      <c r="I285" s="8">
        <v>10000</v>
      </c>
      <c r="J285" t="s">
        <v>261</v>
      </c>
      <c r="K285" s="12">
        <v>0</v>
      </c>
      <c r="L285" s="11">
        <v>0</v>
      </c>
      <c r="M285" s="11">
        <v>0</v>
      </c>
      <c r="N285" s="11">
        <v>-5.81</v>
      </c>
      <c r="O285" s="11">
        <v>0</v>
      </c>
      <c r="P285" s="11">
        <v>0</v>
      </c>
      <c r="Q285" s="11">
        <v>-5.81</v>
      </c>
      <c r="R285" s="11">
        <v>0</v>
      </c>
    </row>
    <row r="286" spans="1:18">
      <c r="A286" t="s">
        <v>308</v>
      </c>
      <c r="B286" s="6">
        <v>46040.501724537004</v>
      </c>
      <c r="C286" s="7" t="s">
        <v>19</v>
      </c>
      <c r="D286" s="8">
        <f t="shared" si="8"/>
        <v>24</v>
      </c>
      <c r="E286" s="8">
        <v>24</v>
      </c>
      <c r="F286" s="8"/>
      <c r="G286" s="8">
        <v>86.08</v>
      </c>
      <c r="H286" s="8">
        <f t="shared" si="9"/>
        <v>301280</v>
      </c>
      <c r="I286" s="8">
        <v>10000</v>
      </c>
      <c r="J286" t="s">
        <v>261</v>
      </c>
      <c r="K286" s="12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</row>
    <row r="287" spans="1:18">
      <c r="A287" t="s">
        <v>309</v>
      </c>
      <c r="B287" s="6">
        <v>46030.784270833297</v>
      </c>
      <c r="C287" s="7" t="s">
        <v>19</v>
      </c>
      <c r="D287" s="8">
        <f t="shared" si="8"/>
        <v>33</v>
      </c>
      <c r="E287" s="8">
        <v>33</v>
      </c>
      <c r="F287" s="8"/>
      <c r="G287" s="8">
        <v>85.57</v>
      </c>
      <c r="H287" s="8">
        <f t="shared" si="9"/>
        <v>299495</v>
      </c>
      <c r="I287" s="8">
        <v>10000</v>
      </c>
      <c r="J287" t="s">
        <v>261</v>
      </c>
      <c r="K287" s="12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</row>
    <row r="288" spans="1:18">
      <c r="A288" t="s">
        <v>310</v>
      </c>
      <c r="B288" s="6">
        <v>46032.2675578704</v>
      </c>
      <c r="C288" s="7" t="s">
        <v>19</v>
      </c>
      <c r="D288" s="8">
        <f t="shared" si="8"/>
        <v>26</v>
      </c>
      <c r="E288" s="8">
        <v>26</v>
      </c>
      <c r="F288" s="8"/>
      <c r="G288" s="8">
        <v>85.44</v>
      </c>
      <c r="H288" s="8">
        <f t="shared" si="9"/>
        <v>299040</v>
      </c>
      <c r="I288" s="8">
        <v>10000</v>
      </c>
      <c r="J288" t="s">
        <v>261</v>
      </c>
      <c r="K288" s="12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0</v>
      </c>
      <c r="R288" s="11">
        <v>0</v>
      </c>
    </row>
    <row r="289" spans="1:18">
      <c r="A289" t="s">
        <v>311</v>
      </c>
      <c r="B289" s="6">
        <v>46067.611365740697</v>
      </c>
      <c r="C289" s="7" t="s">
        <v>19</v>
      </c>
      <c r="D289" s="8">
        <f t="shared" si="8"/>
        <v>36</v>
      </c>
      <c r="E289" s="8">
        <v>36</v>
      </c>
      <c r="F289" s="8"/>
      <c r="G289" s="8">
        <v>84.78</v>
      </c>
      <c r="H289" s="8">
        <f t="shared" si="9"/>
        <v>296730</v>
      </c>
      <c r="I289" s="8">
        <v>10000</v>
      </c>
      <c r="J289" t="s">
        <v>261</v>
      </c>
      <c r="K289" s="12">
        <v>1</v>
      </c>
      <c r="L289" s="11">
        <v>4.4800000000000004</v>
      </c>
      <c r="M289" s="11">
        <v>8.82</v>
      </c>
      <c r="N289" s="11">
        <v>3.2</v>
      </c>
      <c r="O289" s="11">
        <v>8.82</v>
      </c>
      <c r="P289" s="11">
        <v>0</v>
      </c>
      <c r="Q289" s="11">
        <v>3.2</v>
      </c>
      <c r="R289" s="11">
        <v>0</v>
      </c>
    </row>
    <row r="290" spans="1:18">
      <c r="A290" t="s">
        <v>312</v>
      </c>
      <c r="B290" s="6">
        <v>46006.024756944404</v>
      </c>
      <c r="C290" s="7" t="s">
        <v>19</v>
      </c>
      <c r="D290" s="8">
        <f t="shared" si="8"/>
        <v>22</v>
      </c>
      <c r="E290" s="8">
        <v>22</v>
      </c>
      <c r="F290" s="8"/>
      <c r="G290" s="8">
        <v>84.72</v>
      </c>
      <c r="H290" s="8">
        <f t="shared" si="9"/>
        <v>296520</v>
      </c>
      <c r="I290" s="8">
        <v>10000</v>
      </c>
      <c r="J290" t="s">
        <v>261</v>
      </c>
      <c r="K290" s="12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0</v>
      </c>
      <c r="R290" s="11">
        <v>0</v>
      </c>
    </row>
    <row r="291" spans="1:18">
      <c r="A291" t="s">
        <v>313</v>
      </c>
      <c r="B291" s="6">
        <v>46068.741597222201</v>
      </c>
      <c r="C291" s="7" t="s">
        <v>19</v>
      </c>
      <c r="D291" s="8">
        <f t="shared" si="8"/>
        <v>47</v>
      </c>
      <c r="E291" s="8">
        <v>47</v>
      </c>
      <c r="F291" s="8"/>
      <c r="G291" s="8">
        <v>84.28</v>
      </c>
      <c r="H291" s="8">
        <f t="shared" si="9"/>
        <v>294980</v>
      </c>
      <c r="I291" s="8">
        <v>10000</v>
      </c>
      <c r="J291" t="s">
        <v>261</v>
      </c>
      <c r="K291" s="12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0</v>
      </c>
      <c r="R291" s="11">
        <v>0</v>
      </c>
    </row>
    <row r="292" spans="1:18">
      <c r="A292" t="s">
        <v>314</v>
      </c>
      <c r="B292" s="6">
        <v>46033.418726851902</v>
      </c>
      <c r="C292" s="7" t="s">
        <v>19</v>
      </c>
      <c r="D292" s="8">
        <f t="shared" si="8"/>
        <v>32</v>
      </c>
      <c r="E292" s="8">
        <v>32</v>
      </c>
      <c r="F292" s="8"/>
      <c r="G292" s="8">
        <v>84.28</v>
      </c>
      <c r="H292" s="8">
        <f t="shared" si="9"/>
        <v>294980</v>
      </c>
      <c r="I292" s="8">
        <v>10000</v>
      </c>
      <c r="J292" t="s">
        <v>261</v>
      </c>
      <c r="K292" s="12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</row>
    <row r="293" spans="1:18">
      <c r="A293" t="s">
        <v>315</v>
      </c>
      <c r="B293" s="6">
        <v>46023.096261574101</v>
      </c>
      <c r="C293" s="7" t="s">
        <v>19</v>
      </c>
      <c r="D293" s="8">
        <f t="shared" si="8"/>
        <v>29</v>
      </c>
      <c r="E293" s="8">
        <v>29</v>
      </c>
      <c r="F293" s="8"/>
      <c r="G293" s="8">
        <v>83.51</v>
      </c>
      <c r="H293" s="8">
        <f t="shared" si="9"/>
        <v>292285</v>
      </c>
      <c r="I293" s="8">
        <v>10000</v>
      </c>
      <c r="J293" t="s">
        <v>261</v>
      </c>
      <c r="K293" s="12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</row>
    <row r="294" spans="1:18">
      <c r="A294" t="s">
        <v>316</v>
      </c>
      <c r="B294" s="6">
        <v>45990.206296296303</v>
      </c>
      <c r="C294" s="7" t="s">
        <v>19</v>
      </c>
      <c r="D294" s="8">
        <f t="shared" si="8"/>
        <v>45</v>
      </c>
      <c r="E294" s="8">
        <v>45</v>
      </c>
      <c r="F294" s="8"/>
      <c r="G294" s="8">
        <v>82.99</v>
      </c>
      <c r="H294" s="8">
        <f t="shared" si="9"/>
        <v>290465</v>
      </c>
      <c r="I294" s="8">
        <v>10000</v>
      </c>
      <c r="J294" t="s">
        <v>261</v>
      </c>
      <c r="K294" s="12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0</v>
      </c>
      <c r="R294" s="11">
        <v>0</v>
      </c>
    </row>
    <row r="295" spans="1:18">
      <c r="A295" t="s">
        <v>317</v>
      </c>
      <c r="B295" s="6">
        <v>46060.795370370397</v>
      </c>
      <c r="C295" s="7" t="s">
        <v>19</v>
      </c>
      <c r="D295" s="8">
        <f t="shared" si="8"/>
        <v>70</v>
      </c>
      <c r="E295" s="8">
        <v>70</v>
      </c>
      <c r="F295" s="8"/>
      <c r="G295" s="8">
        <v>82.58</v>
      </c>
      <c r="H295" s="8">
        <f t="shared" si="9"/>
        <v>289030</v>
      </c>
      <c r="I295" s="8">
        <v>10000</v>
      </c>
      <c r="J295" t="s">
        <v>261</v>
      </c>
      <c r="K295" s="12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</row>
    <row r="296" spans="1:18">
      <c r="A296" t="s">
        <v>318</v>
      </c>
      <c r="B296" s="6">
        <v>46066.541087963</v>
      </c>
      <c r="C296" s="7" t="s">
        <v>19</v>
      </c>
      <c r="D296" s="8">
        <f t="shared" si="8"/>
        <v>33</v>
      </c>
      <c r="E296" s="8">
        <v>33</v>
      </c>
      <c r="F296" s="8"/>
      <c r="G296" s="8">
        <v>81.7</v>
      </c>
      <c r="H296" s="8">
        <f t="shared" si="9"/>
        <v>285950</v>
      </c>
      <c r="I296" s="8">
        <v>10000</v>
      </c>
      <c r="J296" t="s">
        <v>261</v>
      </c>
      <c r="K296" s="12">
        <v>0</v>
      </c>
      <c r="L296" s="11">
        <v>0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</row>
    <row r="297" spans="1:18">
      <c r="A297" t="s">
        <v>319</v>
      </c>
      <c r="B297" s="6">
        <v>46047.6166898148</v>
      </c>
      <c r="C297" s="7" t="s">
        <v>19</v>
      </c>
      <c r="D297" s="8">
        <f t="shared" si="8"/>
        <v>147</v>
      </c>
      <c r="E297" s="8">
        <v>147</v>
      </c>
      <c r="F297" s="8"/>
      <c r="G297" s="8">
        <v>81.44</v>
      </c>
      <c r="H297" s="8">
        <f t="shared" si="9"/>
        <v>285040</v>
      </c>
      <c r="I297" s="8">
        <v>10000</v>
      </c>
      <c r="J297" t="s">
        <v>261</v>
      </c>
      <c r="K297" s="12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</row>
    <row r="298" spans="1:18">
      <c r="A298" t="s">
        <v>320</v>
      </c>
      <c r="B298" s="6">
        <v>46068.593831018501</v>
      </c>
      <c r="C298" s="7" t="s">
        <v>19</v>
      </c>
      <c r="D298" s="8">
        <f t="shared" si="8"/>
        <v>26</v>
      </c>
      <c r="E298" s="8">
        <v>26</v>
      </c>
      <c r="F298" s="8"/>
      <c r="G298" s="8">
        <v>81.31</v>
      </c>
      <c r="H298" s="8">
        <f t="shared" si="9"/>
        <v>284585</v>
      </c>
      <c r="I298" s="8">
        <v>10000</v>
      </c>
      <c r="J298" t="s">
        <v>261</v>
      </c>
      <c r="K298" s="12">
        <v>0</v>
      </c>
      <c r="L298" s="11">
        <v>0</v>
      </c>
      <c r="M298" s="11">
        <v>0.54</v>
      </c>
      <c r="N298" s="11">
        <v>0.54</v>
      </c>
      <c r="O298" s="11">
        <v>0.54</v>
      </c>
      <c r="P298" s="11">
        <v>0</v>
      </c>
      <c r="Q298" s="11">
        <v>0.54</v>
      </c>
      <c r="R298" s="11">
        <v>0</v>
      </c>
    </row>
    <row r="299" spans="1:18">
      <c r="A299" t="s">
        <v>321</v>
      </c>
      <c r="B299" s="6">
        <v>45994.2903703704</v>
      </c>
      <c r="C299" s="7" t="s">
        <v>19</v>
      </c>
      <c r="D299" s="8">
        <f t="shared" si="8"/>
        <v>70</v>
      </c>
      <c r="E299" s="8">
        <v>70</v>
      </c>
      <c r="F299" s="8"/>
      <c r="G299" s="8">
        <v>80.930000000000007</v>
      </c>
      <c r="H299" s="8">
        <f t="shared" si="9"/>
        <v>283255</v>
      </c>
      <c r="I299" s="8">
        <v>10000</v>
      </c>
      <c r="J299" t="s">
        <v>261</v>
      </c>
      <c r="K299" s="12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0</v>
      </c>
      <c r="R299" s="11">
        <v>0</v>
      </c>
    </row>
    <row r="300" spans="1:18">
      <c r="A300" t="s">
        <v>322</v>
      </c>
      <c r="B300" s="6">
        <v>46059.985358796301</v>
      </c>
      <c r="C300" s="7" t="s">
        <v>19</v>
      </c>
      <c r="D300" s="8">
        <f t="shared" si="8"/>
        <v>26</v>
      </c>
      <c r="E300" s="8">
        <v>26</v>
      </c>
      <c r="F300" s="8"/>
      <c r="G300" s="8">
        <v>80.930000000000007</v>
      </c>
      <c r="H300" s="8">
        <f t="shared" si="9"/>
        <v>283255</v>
      </c>
      <c r="I300" s="8">
        <v>10000</v>
      </c>
      <c r="J300" t="s">
        <v>261</v>
      </c>
      <c r="K300" s="12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</row>
    <row r="301" spans="1:18">
      <c r="A301" t="s">
        <v>323</v>
      </c>
      <c r="B301" s="6">
        <v>46043.694722222201</v>
      </c>
      <c r="C301" s="7" t="s">
        <v>19</v>
      </c>
      <c r="D301" s="8">
        <f t="shared" si="8"/>
        <v>41</v>
      </c>
      <c r="E301" s="8">
        <v>41</v>
      </c>
      <c r="F301" s="8"/>
      <c r="G301" s="8">
        <v>80.67</v>
      </c>
      <c r="H301" s="8">
        <f t="shared" si="9"/>
        <v>282345</v>
      </c>
      <c r="I301" s="8">
        <v>10000</v>
      </c>
      <c r="J301" t="s">
        <v>261</v>
      </c>
      <c r="K301" s="12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</row>
    <row r="302" spans="1:18">
      <c r="A302" t="s">
        <v>324</v>
      </c>
      <c r="B302" s="6">
        <v>45977.911608796298</v>
      </c>
      <c r="C302" s="7" t="s">
        <v>19</v>
      </c>
      <c r="D302" s="8">
        <f t="shared" si="8"/>
        <v>33</v>
      </c>
      <c r="E302" s="8">
        <v>33</v>
      </c>
      <c r="F302" s="8"/>
      <c r="G302" s="8">
        <v>80.67</v>
      </c>
      <c r="H302" s="8">
        <f t="shared" si="9"/>
        <v>282345</v>
      </c>
      <c r="I302" s="8">
        <v>10000</v>
      </c>
      <c r="J302" t="s">
        <v>261</v>
      </c>
      <c r="K302" s="12">
        <v>0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</row>
    <row r="303" spans="1:18">
      <c r="A303" t="s">
        <v>325</v>
      </c>
      <c r="B303" s="6">
        <v>45960.590231481503</v>
      </c>
      <c r="C303" s="7" t="s">
        <v>19</v>
      </c>
      <c r="D303" s="8">
        <f t="shared" si="8"/>
        <v>33</v>
      </c>
      <c r="E303" s="8">
        <v>33</v>
      </c>
      <c r="F303" s="8"/>
      <c r="G303" s="8">
        <v>80.41</v>
      </c>
      <c r="H303" s="8">
        <f t="shared" si="9"/>
        <v>281435</v>
      </c>
      <c r="I303" s="8">
        <v>10000</v>
      </c>
      <c r="J303" t="s">
        <v>261</v>
      </c>
      <c r="K303" s="12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</row>
    <row r="304" spans="1:18">
      <c r="A304" t="s">
        <v>326</v>
      </c>
      <c r="B304" s="6">
        <v>45988.154548611099</v>
      </c>
      <c r="C304" s="7" t="s">
        <v>19</v>
      </c>
      <c r="D304" s="8">
        <f t="shared" si="8"/>
        <v>28</v>
      </c>
      <c r="E304" s="8">
        <v>28</v>
      </c>
      <c r="F304" s="8"/>
      <c r="G304" s="8">
        <v>80.150000000000006</v>
      </c>
      <c r="H304" s="8">
        <f t="shared" si="9"/>
        <v>280525</v>
      </c>
      <c r="I304" s="8">
        <v>10000</v>
      </c>
      <c r="J304" t="s">
        <v>261</v>
      </c>
      <c r="K304" s="12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</row>
    <row r="305" spans="1:18">
      <c r="A305" t="s">
        <v>327</v>
      </c>
      <c r="B305" s="6">
        <v>46050.452847222201</v>
      </c>
      <c r="C305" s="7" t="s">
        <v>19</v>
      </c>
      <c r="D305" s="8">
        <f t="shared" si="8"/>
        <v>51</v>
      </c>
      <c r="E305" s="8">
        <v>51</v>
      </c>
      <c r="F305" s="8"/>
      <c r="G305" s="8">
        <v>80.08</v>
      </c>
      <c r="H305" s="8">
        <f t="shared" si="9"/>
        <v>280280</v>
      </c>
      <c r="I305" s="8">
        <v>10000</v>
      </c>
      <c r="J305" t="s">
        <v>261</v>
      </c>
      <c r="K305" s="12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0</v>
      </c>
      <c r="R305" s="11">
        <v>0</v>
      </c>
    </row>
    <row r="306" spans="1:18">
      <c r="A306" t="s">
        <v>328</v>
      </c>
      <c r="B306" s="6">
        <v>46030.292152777802</v>
      </c>
      <c r="C306" s="7" t="s">
        <v>19</v>
      </c>
      <c r="D306" s="8">
        <f t="shared" si="8"/>
        <v>31</v>
      </c>
      <c r="E306" s="8">
        <v>31</v>
      </c>
      <c r="F306" s="8"/>
      <c r="G306" s="8">
        <v>79.56</v>
      </c>
      <c r="H306" s="8">
        <f t="shared" si="9"/>
        <v>278460</v>
      </c>
      <c r="I306" s="8">
        <v>10000</v>
      </c>
      <c r="J306" t="s">
        <v>261</v>
      </c>
      <c r="K306" s="12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</row>
    <row r="307" spans="1:18">
      <c r="A307" t="s">
        <v>329</v>
      </c>
      <c r="B307" s="6">
        <v>45947.383298611101</v>
      </c>
      <c r="C307" s="7" t="s">
        <v>19</v>
      </c>
      <c r="D307" s="8">
        <f t="shared" si="8"/>
        <v>68</v>
      </c>
      <c r="E307" s="8">
        <v>68</v>
      </c>
      <c r="F307" s="8"/>
      <c r="G307" s="8">
        <v>78.989999999999995</v>
      </c>
      <c r="H307" s="8">
        <f t="shared" si="9"/>
        <v>276465</v>
      </c>
      <c r="I307" s="8">
        <v>10000</v>
      </c>
      <c r="J307" t="s">
        <v>261</v>
      </c>
      <c r="K307" s="12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</row>
    <row r="308" spans="1:18">
      <c r="A308" t="s">
        <v>330</v>
      </c>
      <c r="B308" s="6">
        <v>46010.985486111102</v>
      </c>
      <c r="C308" s="7" t="s">
        <v>19</v>
      </c>
      <c r="D308" s="8">
        <f t="shared" si="8"/>
        <v>23</v>
      </c>
      <c r="E308" s="8">
        <v>23</v>
      </c>
      <c r="F308" s="8"/>
      <c r="G308" s="8">
        <v>78.81</v>
      </c>
      <c r="H308" s="8">
        <f t="shared" si="9"/>
        <v>275835</v>
      </c>
      <c r="I308" s="8">
        <v>10000</v>
      </c>
      <c r="J308" t="s">
        <v>261</v>
      </c>
      <c r="K308" s="12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</row>
    <row r="309" spans="1:18">
      <c r="A309" t="s">
        <v>331</v>
      </c>
      <c r="B309" s="6">
        <v>46008.228611111103</v>
      </c>
      <c r="C309" s="7" t="s">
        <v>19</v>
      </c>
      <c r="D309" s="8">
        <f t="shared" si="8"/>
        <v>28</v>
      </c>
      <c r="E309" s="8">
        <v>28</v>
      </c>
      <c r="F309" s="8"/>
      <c r="G309" s="8">
        <v>78.39</v>
      </c>
      <c r="H309" s="8">
        <f t="shared" si="9"/>
        <v>274365</v>
      </c>
      <c r="I309" s="8">
        <v>10000</v>
      </c>
      <c r="J309" t="s">
        <v>261</v>
      </c>
      <c r="K309" s="12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0</v>
      </c>
    </row>
    <row r="310" spans="1:18">
      <c r="A310" t="s">
        <v>332</v>
      </c>
      <c r="B310" s="6">
        <v>46060.7176273148</v>
      </c>
      <c r="C310" s="7" t="s">
        <v>19</v>
      </c>
      <c r="D310" s="8">
        <f t="shared" si="8"/>
        <v>43</v>
      </c>
      <c r="E310" s="8">
        <v>43</v>
      </c>
      <c r="F310" s="8"/>
      <c r="G310" s="8">
        <v>78.040000000000006</v>
      </c>
      <c r="H310" s="8">
        <f t="shared" si="9"/>
        <v>273140</v>
      </c>
      <c r="I310" s="8">
        <v>10000</v>
      </c>
      <c r="J310" t="s">
        <v>261</v>
      </c>
      <c r="K310" s="12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</row>
    <row r="311" spans="1:18">
      <c r="A311" t="s">
        <v>333</v>
      </c>
      <c r="B311" s="6">
        <v>46067.688506944403</v>
      </c>
      <c r="C311" s="7" t="s">
        <v>19</v>
      </c>
      <c r="D311" s="8">
        <f t="shared" si="8"/>
        <v>52</v>
      </c>
      <c r="E311" s="8">
        <v>52</v>
      </c>
      <c r="F311" s="8"/>
      <c r="G311" s="8">
        <v>78.02</v>
      </c>
      <c r="H311" s="8">
        <f t="shared" si="9"/>
        <v>273070</v>
      </c>
      <c r="I311" s="8">
        <v>10000</v>
      </c>
      <c r="J311" t="s">
        <v>261</v>
      </c>
      <c r="K311" s="12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</row>
    <row r="312" spans="1:18">
      <c r="A312" t="s">
        <v>334</v>
      </c>
      <c r="B312" s="6">
        <v>46056.304861111101</v>
      </c>
      <c r="C312" s="7" t="s">
        <v>19</v>
      </c>
      <c r="D312" s="8">
        <f t="shared" si="8"/>
        <v>41</v>
      </c>
      <c r="E312" s="8">
        <v>41</v>
      </c>
      <c r="F312" s="8"/>
      <c r="G312" s="8">
        <v>77.84</v>
      </c>
      <c r="H312" s="8">
        <f t="shared" si="9"/>
        <v>272440</v>
      </c>
      <c r="I312" s="8">
        <v>10000</v>
      </c>
      <c r="J312" t="s">
        <v>261</v>
      </c>
      <c r="K312" s="12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</row>
    <row r="313" spans="1:18">
      <c r="A313" t="s">
        <v>335</v>
      </c>
      <c r="B313" s="6">
        <v>45974.874155092599</v>
      </c>
      <c r="C313" s="7" t="s">
        <v>19</v>
      </c>
      <c r="D313" s="8">
        <f t="shared" si="8"/>
        <v>24</v>
      </c>
      <c r="E313" s="8">
        <v>24</v>
      </c>
      <c r="F313" s="8"/>
      <c r="G313" s="8">
        <v>77.58</v>
      </c>
      <c r="H313" s="8">
        <f t="shared" si="9"/>
        <v>271530</v>
      </c>
      <c r="I313" s="8">
        <v>10000</v>
      </c>
      <c r="J313" t="s">
        <v>261</v>
      </c>
      <c r="K313" s="12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</row>
    <row r="314" spans="1:18">
      <c r="A314" t="s">
        <v>336</v>
      </c>
      <c r="B314" s="6">
        <v>45985.636562500003</v>
      </c>
      <c r="C314" s="7" t="s">
        <v>19</v>
      </c>
      <c r="D314" s="8">
        <f t="shared" si="8"/>
        <v>60</v>
      </c>
      <c r="E314" s="8">
        <v>60</v>
      </c>
      <c r="F314" s="8"/>
      <c r="G314" s="8">
        <v>77.319999999999993</v>
      </c>
      <c r="H314" s="8">
        <f t="shared" si="9"/>
        <v>270620</v>
      </c>
      <c r="I314" s="8">
        <v>10000</v>
      </c>
      <c r="J314" t="s">
        <v>261</v>
      </c>
      <c r="K314" s="12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0</v>
      </c>
      <c r="R314" s="11">
        <v>0</v>
      </c>
    </row>
    <row r="315" spans="1:18">
      <c r="A315" t="s">
        <v>337</v>
      </c>
      <c r="B315" s="6">
        <v>46030.422152777799</v>
      </c>
      <c r="C315" s="7" t="s">
        <v>19</v>
      </c>
      <c r="D315" s="8">
        <f t="shared" si="8"/>
        <v>49</v>
      </c>
      <c r="E315" s="8">
        <v>49</v>
      </c>
      <c r="F315" s="8"/>
      <c r="G315" s="8">
        <v>77.319999999999993</v>
      </c>
      <c r="H315" s="8">
        <f t="shared" si="9"/>
        <v>270620</v>
      </c>
      <c r="I315" s="8">
        <v>10000</v>
      </c>
      <c r="J315" t="s">
        <v>261</v>
      </c>
      <c r="K315" s="12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0</v>
      </c>
      <c r="R315" s="11">
        <v>0</v>
      </c>
    </row>
    <row r="316" spans="1:18">
      <c r="A316" t="s">
        <v>338</v>
      </c>
      <c r="B316" s="6">
        <v>46054.851446759298</v>
      </c>
      <c r="C316" s="7" t="s">
        <v>19</v>
      </c>
      <c r="D316" s="8">
        <f t="shared" si="8"/>
        <v>39</v>
      </c>
      <c r="E316" s="8">
        <v>39</v>
      </c>
      <c r="F316" s="8"/>
      <c r="G316" s="8">
        <v>77.319999999999993</v>
      </c>
      <c r="H316" s="8">
        <f t="shared" si="9"/>
        <v>270620</v>
      </c>
      <c r="I316" s="8">
        <v>10000</v>
      </c>
      <c r="J316" t="s">
        <v>261</v>
      </c>
      <c r="K316" s="12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</row>
    <row r="317" spans="1:18">
      <c r="A317" t="s">
        <v>339</v>
      </c>
      <c r="B317" s="6">
        <v>46030.5559490741</v>
      </c>
      <c r="C317" s="7" t="s">
        <v>19</v>
      </c>
      <c r="D317" s="8">
        <f t="shared" si="8"/>
        <v>30</v>
      </c>
      <c r="E317" s="8">
        <v>30</v>
      </c>
      <c r="F317" s="8"/>
      <c r="G317" s="8">
        <v>77.319999999999993</v>
      </c>
      <c r="H317" s="8">
        <f t="shared" si="9"/>
        <v>270620</v>
      </c>
      <c r="I317" s="8">
        <v>10000</v>
      </c>
      <c r="J317" t="s">
        <v>261</v>
      </c>
      <c r="K317" s="12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0</v>
      </c>
      <c r="R317" s="11">
        <v>0</v>
      </c>
    </row>
    <row r="318" spans="1:18">
      <c r="A318" t="s">
        <v>340</v>
      </c>
      <c r="B318" s="6">
        <v>46068.6581828704</v>
      </c>
      <c r="C318" s="7" t="s">
        <v>19</v>
      </c>
      <c r="D318" s="8">
        <f t="shared" si="8"/>
        <v>33</v>
      </c>
      <c r="E318" s="8">
        <v>33</v>
      </c>
      <c r="F318" s="8"/>
      <c r="G318" s="8">
        <v>77.09</v>
      </c>
      <c r="H318" s="8">
        <f t="shared" si="9"/>
        <v>269815</v>
      </c>
      <c r="I318" s="8">
        <v>10000</v>
      </c>
      <c r="J318" t="s">
        <v>261</v>
      </c>
      <c r="K318" s="12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Q318" s="11">
        <v>0</v>
      </c>
      <c r="R318" s="11">
        <v>0</v>
      </c>
    </row>
    <row r="319" spans="1:18">
      <c r="A319" t="s">
        <v>341</v>
      </c>
      <c r="B319" s="6">
        <v>46038.377974536997</v>
      </c>
      <c r="C319" s="7" t="s">
        <v>19</v>
      </c>
      <c r="D319" s="8">
        <f t="shared" si="8"/>
        <v>28</v>
      </c>
      <c r="E319" s="8">
        <v>28</v>
      </c>
      <c r="F319" s="8"/>
      <c r="G319" s="8">
        <v>76.03</v>
      </c>
      <c r="H319" s="8">
        <f t="shared" si="9"/>
        <v>266105</v>
      </c>
      <c r="I319" s="8">
        <v>10000</v>
      </c>
      <c r="J319" t="s">
        <v>261</v>
      </c>
      <c r="K319" s="12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</row>
    <row r="320" spans="1:18">
      <c r="A320" t="s">
        <v>342</v>
      </c>
      <c r="B320" s="6">
        <v>46040.543854166703</v>
      </c>
      <c r="C320" s="7" t="s">
        <v>19</v>
      </c>
      <c r="D320" s="8">
        <f t="shared" si="8"/>
        <v>45</v>
      </c>
      <c r="E320" s="8">
        <v>45</v>
      </c>
      <c r="F320" s="8"/>
      <c r="G320" s="8">
        <v>75.88</v>
      </c>
      <c r="H320" s="8">
        <f t="shared" si="9"/>
        <v>265580</v>
      </c>
      <c r="I320" s="8">
        <v>10000</v>
      </c>
      <c r="J320" t="s">
        <v>261</v>
      </c>
      <c r="K320" s="12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</row>
    <row r="321" spans="1:18">
      <c r="A321" t="s">
        <v>343</v>
      </c>
      <c r="B321" s="6">
        <v>46032.800300925897</v>
      </c>
      <c r="C321" s="7" t="s">
        <v>19</v>
      </c>
      <c r="D321" s="8">
        <f t="shared" si="8"/>
        <v>22</v>
      </c>
      <c r="E321" s="8">
        <v>22</v>
      </c>
      <c r="F321" s="8"/>
      <c r="G321" s="8">
        <v>75.77</v>
      </c>
      <c r="H321" s="8">
        <f t="shared" si="9"/>
        <v>265195</v>
      </c>
      <c r="I321" s="8">
        <v>10000</v>
      </c>
      <c r="J321" t="s">
        <v>261</v>
      </c>
      <c r="K321" s="12">
        <v>0</v>
      </c>
      <c r="L321" s="11">
        <v>0</v>
      </c>
      <c r="M321" s="11">
        <v>0</v>
      </c>
      <c r="N321" s="11">
        <v>0</v>
      </c>
      <c r="O321" s="11">
        <v>0</v>
      </c>
      <c r="P321" s="11">
        <v>0</v>
      </c>
      <c r="Q321" s="11">
        <v>0</v>
      </c>
      <c r="R321" s="11">
        <v>0</v>
      </c>
    </row>
    <row r="322" spans="1:18">
      <c r="A322" t="s">
        <v>344</v>
      </c>
      <c r="B322" s="6">
        <v>46069.816944444399</v>
      </c>
      <c r="C322" s="7" t="s">
        <v>19</v>
      </c>
      <c r="D322" s="8">
        <f t="shared" ref="D322:D385" si="10">E322+F322</f>
        <v>29</v>
      </c>
      <c r="E322" s="8">
        <v>29</v>
      </c>
      <c r="F322" s="8"/>
      <c r="G322" s="8">
        <v>75.52</v>
      </c>
      <c r="H322" s="8">
        <f t="shared" ref="H322:H385" si="11">G322*3500</f>
        <v>264320</v>
      </c>
      <c r="I322" s="8">
        <v>10000</v>
      </c>
      <c r="J322" t="s">
        <v>261</v>
      </c>
      <c r="K322" s="12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0</v>
      </c>
      <c r="R322" s="11">
        <v>0</v>
      </c>
    </row>
    <row r="323" spans="1:18">
      <c r="A323" t="s">
        <v>345</v>
      </c>
      <c r="B323" s="6">
        <v>46018.309004629598</v>
      </c>
      <c r="C323" s="7" t="s">
        <v>19</v>
      </c>
      <c r="D323" s="8">
        <f t="shared" si="10"/>
        <v>62</v>
      </c>
      <c r="E323" s="8">
        <v>62</v>
      </c>
      <c r="F323" s="8"/>
      <c r="G323" s="8">
        <v>75.36</v>
      </c>
      <c r="H323" s="8">
        <f t="shared" si="11"/>
        <v>263760</v>
      </c>
      <c r="I323" s="8">
        <v>10000</v>
      </c>
      <c r="J323" t="s">
        <v>261</v>
      </c>
      <c r="K323" s="12">
        <v>0</v>
      </c>
      <c r="L323" s="11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0</v>
      </c>
      <c r="R323" s="11">
        <v>0</v>
      </c>
    </row>
    <row r="324" spans="1:18">
      <c r="A324" t="s">
        <v>346</v>
      </c>
      <c r="B324" s="6">
        <v>46042.074062500003</v>
      </c>
      <c r="C324" s="7" t="s">
        <v>19</v>
      </c>
      <c r="D324" s="8">
        <f t="shared" si="10"/>
        <v>26</v>
      </c>
      <c r="E324" s="8">
        <v>26</v>
      </c>
      <c r="F324" s="8"/>
      <c r="G324" s="8">
        <v>75.34</v>
      </c>
      <c r="H324" s="8">
        <f t="shared" si="11"/>
        <v>263690</v>
      </c>
      <c r="I324" s="8">
        <v>10000</v>
      </c>
      <c r="J324" t="s">
        <v>261</v>
      </c>
      <c r="K324" s="12">
        <v>1</v>
      </c>
      <c r="L324" s="11">
        <v>1.29</v>
      </c>
      <c r="M324" s="11">
        <v>1.29</v>
      </c>
      <c r="N324" s="11">
        <v>1.29</v>
      </c>
      <c r="O324" s="11">
        <v>1.29</v>
      </c>
      <c r="P324" s="11">
        <v>0</v>
      </c>
      <c r="Q324" s="11">
        <v>1.29</v>
      </c>
      <c r="R324" s="11">
        <v>0</v>
      </c>
    </row>
    <row r="325" spans="1:18">
      <c r="A325" t="s">
        <v>347</v>
      </c>
      <c r="B325" s="6">
        <v>45973.316736111097</v>
      </c>
      <c r="C325" s="7" t="s">
        <v>19</v>
      </c>
      <c r="D325" s="8">
        <f t="shared" si="10"/>
        <v>61</v>
      </c>
      <c r="E325" s="8">
        <v>61</v>
      </c>
      <c r="F325" s="8"/>
      <c r="G325" s="8">
        <v>74.739999999999995</v>
      </c>
      <c r="H325" s="8">
        <f t="shared" si="11"/>
        <v>261590</v>
      </c>
      <c r="I325" s="8">
        <v>10000</v>
      </c>
      <c r="J325" t="s">
        <v>261</v>
      </c>
      <c r="K325" s="12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</row>
    <row r="326" spans="1:18">
      <c r="A326" t="s">
        <v>348</v>
      </c>
      <c r="B326" s="6">
        <v>46032.794224537</v>
      </c>
      <c r="C326" s="7" t="s">
        <v>19</v>
      </c>
      <c r="D326" s="8">
        <f t="shared" si="10"/>
        <v>29</v>
      </c>
      <c r="E326" s="8">
        <v>29</v>
      </c>
      <c r="F326" s="8"/>
      <c r="G326" s="8">
        <v>74.739999999999995</v>
      </c>
      <c r="H326" s="8">
        <f t="shared" si="11"/>
        <v>261590</v>
      </c>
      <c r="I326" s="8">
        <v>10000</v>
      </c>
      <c r="J326" t="s">
        <v>261</v>
      </c>
      <c r="K326" s="12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0</v>
      </c>
      <c r="R326" s="11">
        <v>0</v>
      </c>
    </row>
    <row r="327" spans="1:18">
      <c r="A327" t="s">
        <v>349</v>
      </c>
      <c r="B327" s="6">
        <v>46043.4219675926</v>
      </c>
      <c r="C327" s="7" t="s">
        <v>19</v>
      </c>
      <c r="D327" s="8">
        <f t="shared" si="10"/>
        <v>29</v>
      </c>
      <c r="E327" s="8">
        <v>29</v>
      </c>
      <c r="F327" s="8"/>
      <c r="G327" s="8">
        <v>74.739999999999995</v>
      </c>
      <c r="H327" s="8">
        <f t="shared" si="11"/>
        <v>261590</v>
      </c>
      <c r="I327" s="8">
        <v>10000</v>
      </c>
      <c r="J327" t="s">
        <v>261</v>
      </c>
      <c r="K327" s="12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0</v>
      </c>
      <c r="R327" s="11">
        <v>0</v>
      </c>
    </row>
    <row r="328" spans="1:18">
      <c r="A328" t="s">
        <v>350</v>
      </c>
      <c r="B328" s="6">
        <v>45948.5850810185</v>
      </c>
      <c r="C328" s="7" t="s">
        <v>19</v>
      </c>
      <c r="D328" s="8">
        <f t="shared" si="10"/>
        <v>30</v>
      </c>
      <c r="E328" s="8">
        <v>30</v>
      </c>
      <c r="F328" s="8"/>
      <c r="G328" s="8">
        <v>74.48</v>
      </c>
      <c r="H328" s="8">
        <f t="shared" si="11"/>
        <v>260680</v>
      </c>
      <c r="I328" s="8">
        <v>10000</v>
      </c>
      <c r="J328" t="s">
        <v>261</v>
      </c>
      <c r="K328" s="12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</row>
    <row r="329" spans="1:18">
      <c r="A329" t="s">
        <v>351</v>
      </c>
      <c r="B329" s="6">
        <v>46042.8336921296</v>
      </c>
      <c r="C329" s="7" t="s">
        <v>19</v>
      </c>
      <c r="D329" s="8">
        <f t="shared" si="10"/>
        <v>25</v>
      </c>
      <c r="E329" s="8">
        <v>25</v>
      </c>
      <c r="F329" s="8"/>
      <c r="G329" s="8">
        <v>73.72</v>
      </c>
      <c r="H329" s="8">
        <f t="shared" si="11"/>
        <v>258020</v>
      </c>
      <c r="I329" s="8">
        <v>10000</v>
      </c>
      <c r="J329" t="s">
        <v>261</v>
      </c>
      <c r="K329" s="12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</row>
    <row r="330" spans="1:18">
      <c r="A330" t="s">
        <v>352</v>
      </c>
      <c r="B330" s="6">
        <v>46020.173321759299</v>
      </c>
      <c r="C330" s="7" t="s">
        <v>19</v>
      </c>
      <c r="D330" s="8">
        <f t="shared" si="10"/>
        <v>26</v>
      </c>
      <c r="E330" s="8">
        <v>26</v>
      </c>
      <c r="F330" s="8"/>
      <c r="G330" s="8">
        <v>73.06</v>
      </c>
      <c r="H330" s="8">
        <f t="shared" si="11"/>
        <v>255710</v>
      </c>
      <c r="I330" s="8">
        <v>10000</v>
      </c>
      <c r="J330" t="s">
        <v>261</v>
      </c>
      <c r="K330" s="12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</row>
    <row r="331" spans="1:18">
      <c r="A331" t="s">
        <v>353</v>
      </c>
      <c r="B331" s="6">
        <v>46042.650694444397</v>
      </c>
      <c r="C331" s="7" t="s">
        <v>19</v>
      </c>
      <c r="D331" s="8">
        <f t="shared" si="10"/>
        <v>28</v>
      </c>
      <c r="E331" s="8">
        <v>28</v>
      </c>
      <c r="F331" s="8"/>
      <c r="G331" s="8">
        <v>72.94</v>
      </c>
      <c r="H331" s="8">
        <f t="shared" si="11"/>
        <v>255290</v>
      </c>
      <c r="I331" s="8">
        <v>10000</v>
      </c>
      <c r="J331" t="s">
        <v>261</v>
      </c>
      <c r="K331" s="12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</row>
    <row r="332" spans="1:18">
      <c r="A332" t="s">
        <v>354</v>
      </c>
      <c r="B332" s="6">
        <v>46046.7588888889</v>
      </c>
      <c r="C332" s="7" t="s">
        <v>19</v>
      </c>
      <c r="D332" s="8">
        <f t="shared" si="10"/>
        <v>29</v>
      </c>
      <c r="E332" s="8">
        <v>29</v>
      </c>
      <c r="F332" s="8"/>
      <c r="G332" s="8">
        <v>72.36</v>
      </c>
      <c r="H332" s="8">
        <f t="shared" si="11"/>
        <v>253260</v>
      </c>
      <c r="I332" s="8">
        <v>10000</v>
      </c>
      <c r="J332" t="s">
        <v>261</v>
      </c>
      <c r="K332" s="12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</row>
    <row r="333" spans="1:18">
      <c r="A333" t="s">
        <v>355</v>
      </c>
      <c r="B333" s="6">
        <v>46031.181122685201</v>
      </c>
      <c r="C333" s="7" t="s">
        <v>19</v>
      </c>
      <c r="D333" s="8">
        <f t="shared" si="10"/>
        <v>26</v>
      </c>
      <c r="E333" s="8">
        <v>26</v>
      </c>
      <c r="F333" s="8"/>
      <c r="G333" s="8">
        <v>72.040000000000006</v>
      </c>
      <c r="H333" s="8">
        <f t="shared" si="11"/>
        <v>252140</v>
      </c>
      <c r="I333" s="8">
        <v>10000</v>
      </c>
      <c r="J333" t="s">
        <v>261</v>
      </c>
      <c r="K333" s="12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</row>
    <row r="334" spans="1:18">
      <c r="A334" t="s">
        <v>356</v>
      </c>
      <c r="B334" s="6">
        <v>45997.6395023148</v>
      </c>
      <c r="C334" s="7" t="s">
        <v>19</v>
      </c>
      <c r="D334" s="8">
        <f t="shared" si="10"/>
        <v>90</v>
      </c>
      <c r="E334" s="8">
        <v>90</v>
      </c>
      <c r="F334" s="8"/>
      <c r="G334" s="8">
        <v>71.760000000000005</v>
      </c>
      <c r="H334" s="8">
        <f t="shared" si="11"/>
        <v>251160</v>
      </c>
      <c r="I334" s="8">
        <v>10000</v>
      </c>
      <c r="J334" t="s">
        <v>261</v>
      </c>
      <c r="K334" s="12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</row>
    <row r="335" spans="1:18">
      <c r="A335" t="s">
        <v>357</v>
      </c>
      <c r="B335" s="6">
        <v>46049.513159722199</v>
      </c>
      <c r="C335" s="7" t="s">
        <v>19</v>
      </c>
      <c r="D335" s="8">
        <f t="shared" si="10"/>
        <v>23</v>
      </c>
      <c r="E335" s="8">
        <v>23</v>
      </c>
      <c r="F335" s="8"/>
      <c r="G335" s="8">
        <v>70.88</v>
      </c>
      <c r="H335" s="8">
        <f t="shared" si="11"/>
        <v>248080</v>
      </c>
      <c r="I335" s="8">
        <v>10000</v>
      </c>
      <c r="J335" t="s">
        <v>261</v>
      </c>
      <c r="K335" s="12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0</v>
      </c>
      <c r="R335" s="11">
        <v>0</v>
      </c>
    </row>
    <row r="336" spans="1:18">
      <c r="A336" t="s">
        <v>358</v>
      </c>
      <c r="B336" s="6">
        <v>46044.120358796303</v>
      </c>
      <c r="C336" s="7" t="s">
        <v>19</v>
      </c>
      <c r="D336" s="8">
        <f t="shared" si="10"/>
        <v>35</v>
      </c>
      <c r="E336" s="8">
        <v>35</v>
      </c>
      <c r="F336" s="8"/>
      <c r="G336" s="8">
        <v>70.599999999999994</v>
      </c>
      <c r="H336" s="8">
        <f t="shared" si="11"/>
        <v>247100</v>
      </c>
      <c r="I336" s="8">
        <v>10000</v>
      </c>
      <c r="J336" t="s">
        <v>261</v>
      </c>
      <c r="K336" s="12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</row>
    <row r="337" spans="1:18">
      <c r="A337" t="s">
        <v>359</v>
      </c>
      <c r="B337" s="6">
        <v>46054.448668981502</v>
      </c>
      <c r="C337" s="7" t="s">
        <v>19</v>
      </c>
      <c r="D337" s="8">
        <f t="shared" si="10"/>
        <v>23</v>
      </c>
      <c r="E337" s="8">
        <v>23</v>
      </c>
      <c r="F337" s="8"/>
      <c r="G337" s="8">
        <v>70.13</v>
      </c>
      <c r="H337" s="8">
        <f t="shared" si="11"/>
        <v>245455</v>
      </c>
      <c r="I337" s="8">
        <v>10000</v>
      </c>
      <c r="J337" t="s">
        <v>261</v>
      </c>
      <c r="K337" s="12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R337" s="11">
        <v>0</v>
      </c>
    </row>
    <row r="338" spans="1:18">
      <c r="A338" t="s">
        <v>360</v>
      </c>
      <c r="B338" s="6">
        <v>46014.319386574098</v>
      </c>
      <c r="C338" s="7" t="s">
        <v>19</v>
      </c>
      <c r="D338" s="8">
        <f t="shared" si="10"/>
        <v>56</v>
      </c>
      <c r="E338" s="8">
        <v>56</v>
      </c>
      <c r="F338" s="8"/>
      <c r="G338" s="8">
        <v>70.099999999999994</v>
      </c>
      <c r="H338" s="8">
        <f t="shared" si="11"/>
        <v>245350</v>
      </c>
      <c r="I338" s="8">
        <v>10000</v>
      </c>
      <c r="J338" t="s">
        <v>261</v>
      </c>
      <c r="K338" s="12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</row>
    <row r="339" spans="1:18">
      <c r="A339" t="s">
        <v>361</v>
      </c>
      <c r="B339" s="6">
        <v>46067.3343171296</v>
      </c>
      <c r="C339" s="7" t="s">
        <v>19</v>
      </c>
      <c r="D339" s="8">
        <f t="shared" si="10"/>
        <v>30</v>
      </c>
      <c r="E339" s="8">
        <v>30</v>
      </c>
      <c r="F339" s="8"/>
      <c r="G339" s="8">
        <v>69.47</v>
      </c>
      <c r="H339" s="8">
        <f t="shared" si="11"/>
        <v>243145</v>
      </c>
      <c r="I339" s="8">
        <v>10000</v>
      </c>
      <c r="J339" t="s">
        <v>261</v>
      </c>
      <c r="K339" s="12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</row>
    <row r="340" spans="1:18">
      <c r="A340" t="s">
        <v>362</v>
      </c>
      <c r="B340" s="6">
        <v>46023.837627314802</v>
      </c>
      <c r="C340" s="7" t="s">
        <v>19</v>
      </c>
      <c r="D340" s="8">
        <f t="shared" si="10"/>
        <v>33</v>
      </c>
      <c r="E340" s="8">
        <v>33</v>
      </c>
      <c r="F340" s="8"/>
      <c r="G340" s="8">
        <v>69.33</v>
      </c>
      <c r="H340" s="8">
        <f t="shared" si="11"/>
        <v>242655</v>
      </c>
      <c r="I340" s="8">
        <v>10000</v>
      </c>
      <c r="J340" t="s">
        <v>261</v>
      </c>
      <c r="K340" s="12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</row>
    <row r="341" spans="1:18">
      <c r="A341" t="s">
        <v>363</v>
      </c>
      <c r="B341" s="6">
        <v>46065.4786342593</v>
      </c>
      <c r="C341" s="7" t="s">
        <v>19</v>
      </c>
      <c r="D341" s="8">
        <f t="shared" si="10"/>
        <v>38</v>
      </c>
      <c r="E341" s="8">
        <v>38</v>
      </c>
      <c r="F341" s="8"/>
      <c r="G341" s="8">
        <v>69.069999999999993</v>
      </c>
      <c r="H341" s="8">
        <f t="shared" si="11"/>
        <v>241745</v>
      </c>
      <c r="I341" s="8">
        <v>10000</v>
      </c>
      <c r="J341" t="s">
        <v>261</v>
      </c>
      <c r="K341" s="12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0</v>
      </c>
      <c r="R341" s="11">
        <v>0</v>
      </c>
    </row>
    <row r="342" spans="1:18">
      <c r="A342" t="s">
        <v>364</v>
      </c>
      <c r="B342" s="6">
        <v>46033.967789351896</v>
      </c>
      <c r="C342" s="7" t="s">
        <v>19</v>
      </c>
      <c r="D342" s="8">
        <f t="shared" si="10"/>
        <v>37</v>
      </c>
      <c r="E342" s="8">
        <v>37</v>
      </c>
      <c r="F342" s="8"/>
      <c r="G342" s="8">
        <v>68.3</v>
      </c>
      <c r="H342" s="8">
        <f t="shared" si="11"/>
        <v>239050</v>
      </c>
      <c r="I342" s="8">
        <v>10000</v>
      </c>
      <c r="J342" t="s">
        <v>261</v>
      </c>
      <c r="K342" s="12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</row>
    <row r="343" spans="1:18">
      <c r="A343" t="s">
        <v>365</v>
      </c>
      <c r="B343" s="6">
        <v>45965.900937500002</v>
      </c>
      <c r="C343" s="7" t="s">
        <v>19</v>
      </c>
      <c r="D343" s="8">
        <f t="shared" si="10"/>
        <v>44</v>
      </c>
      <c r="E343" s="8">
        <v>44</v>
      </c>
      <c r="F343" s="8"/>
      <c r="G343" s="8">
        <v>67.010000000000005</v>
      </c>
      <c r="H343" s="8">
        <f t="shared" si="11"/>
        <v>234535</v>
      </c>
      <c r="I343" s="8">
        <v>10000</v>
      </c>
      <c r="J343" t="s">
        <v>261</v>
      </c>
      <c r="K343" s="12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</row>
    <row r="344" spans="1:18">
      <c r="A344" t="s">
        <v>366</v>
      </c>
      <c r="B344" s="6">
        <v>45961.5</v>
      </c>
      <c r="C344" s="7" t="s">
        <v>19</v>
      </c>
      <c r="D344" s="8">
        <f t="shared" si="10"/>
        <v>25</v>
      </c>
      <c r="E344" s="8">
        <v>25</v>
      </c>
      <c r="F344" s="8"/>
      <c r="G344" s="8">
        <v>67.010000000000005</v>
      </c>
      <c r="H344" s="8">
        <f t="shared" si="11"/>
        <v>234535</v>
      </c>
      <c r="I344" s="8">
        <v>10000</v>
      </c>
      <c r="J344" t="s">
        <v>261</v>
      </c>
      <c r="K344" s="12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</row>
    <row r="345" spans="1:18">
      <c r="A345" t="s">
        <v>367</v>
      </c>
      <c r="B345" s="6">
        <v>45973.168194444399</v>
      </c>
      <c r="C345" s="7" t="s">
        <v>19</v>
      </c>
      <c r="D345" s="8">
        <f t="shared" si="10"/>
        <v>23</v>
      </c>
      <c r="E345" s="8">
        <v>23</v>
      </c>
      <c r="F345" s="8"/>
      <c r="G345" s="8">
        <v>66.75</v>
      </c>
      <c r="H345" s="8">
        <f t="shared" si="11"/>
        <v>233625</v>
      </c>
      <c r="I345" s="8">
        <v>10000</v>
      </c>
      <c r="J345" t="s">
        <v>261</v>
      </c>
      <c r="K345" s="12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</row>
    <row r="346" spans="1:18">
      <c r="A346" t="s">
        <v>368</v>
      </c>
      <c r="B346" s="6">
        <v>46065.824270833298</v>
      </c>
      <c r="C346" s="7" t="s">
        <v>19</v>
      </c>
      <c r="D346" s="8">
        <f t="shared" si="10"/>
        <v>25</v>
      </c>
      <c r="E346" s="8">
        <v>25</v>
      </c>
      <c r="F346" s="8"/>
      <c r="G346" s="8">
        <v>66.19</v>
      </c>
      <c r="H346" s="8">
        <f t="shared" si="11"/>
        <v>231665</v>
      </c>
      <c r="I346" s="8">
        <v>10000</v>
      </c>
      <c r="J346" t="s">
        <v>261</v>
      </c>
      <c r="K346" s="12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</row>
    <row r="347" spans="1:18">
      <c r="A347" t="s">
        <v>369</v>
      </c>
      <c r="B347" s="6">
        <v>46027.731064814798</v>
      </c>
      <c r="C347" s="7" t="s">
        <v>19</v>
      </c>
      <c r="D347" s="8">
        <f t="shared" si="10"/>
        <v>93</v>
      </c>
      <c r="E347" s="8">
        <v>93</v>
      </c>
      <c r="F347" s="8"/>
      <c r="G347" s="8">
        <v>65.98</v>
      </c>
      <c r="H347" s="8">
        <f t="shared" si="11"/>
        <v>230930</v>
      </c>
      <c r="I347" s="8">
        <v>10000</v>
      </c>
      <c r="J347" t="s">
        <v>261</v>
      </c>
      <c r="K347" s="12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</row>
    <row r="348" spans="1:18">
      <c r="A348" t="s">
        <v>370</v>
      </c>
      <c r="B348" s="6">
        <v>45968.445844907401</v>
      </c>
      <c r="C348" s="7" t="s">
        <v>19</v>
      </c>
      <c r="D348" s="8">
        <f t="shared" si="10"/>
        <v>38</v>
      </c>
      <c r="E348" s="8">
        <v>38</v>
      </c>
      <c r="F348" s="8"/>
      <c r="G348" s="8">
        <v>65.849999999999994</v>
      </c>
      <c r="H348" s="8">
        <f t="shared" si="11"/>
        <v>230475</v>
      </c>
      <c r="I348" s="8">
        <v>10000</v>
      </c>
      <c r="J348" t="s">
        <v>261</v>
      </c>
      <c r="K348" s="12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</row>
    <row r="349" spans="1:18">
      <c r="A349" t="s">
        <v>371</v>
      </c>
      <c r="B349" s="6">
        <v>46049.334618055596</v>
      </c>
      <c r="C349" s="7" t="s">
        <v>19</v>
      </c>
      <c r="D349" s="8">
        <f t="shared" si="10"/>
        <v>47</v>
      </c>
      <c r="E349" s="8">
        <v>47</v>
      </c>
      <c r="F349" s="8"/>
      <c r="G349" s="8">
        <v>65.510000000000005</v>
      </c>
      <c r="H349" s="8">
        <f t="shared" si="11"/>
        <v>229285</v>
      </c>
      <c r="I349" s="8">
        <v>10000</v>
      </c>
      <c r="J349" t="s">
        <v>261</v>
      </c>
      <c r="K349" s="12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</row>
    <row r="350" spans="1:18">
      <c r="A350" t="s">
        <v>372</v>
      </c>
      <c r="B350" s="6">
        <v>46032.435439814799</v>
      </c>
      <c r="C350" s="7" t="s">
        <v>19</v>
      </c>
      <c r="D350" s="8">
        <f t="shared" si="10"/>
        <v>24</v>
      </c>
      <c r="E350" s="8">
        <v>24</v>
      </c>
      <c r="F350" s="8"/>
      <c r="G350" s="8">
        <v>64.430000000000007</v>
      </c>
      <c r="H350" s="8">
        <f t="shared" si="11"/>
        <v>225505</v>
      </c>
      <c r="I350" s="8">
        <v>10000</v>
      </c>
      <c r="J350" t="s">
        <v>261</v>
      </c>
      <c r="K350" s="12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</row>
    <row r="351" spans="1:18">
      <c r="A351" t="s">
        <v>373</v>
      </c>
      <c r="B351" s="6">
        <v>46019.352430555598</v>
      </c>
      <c r="C351" s="7" t="s">
        <v>19</v>
      </c>
      <c r="D351" s="8">
        <f t="shared" si="10"/>
        <v>40</v>
      </c>
      <c r="E351" s="8">
        <v>40</v>
      </c>
      <c r="F351" s="8"/>
      <c r="G351" s="8">
        <v>63.99</v>
      </c>
      <c r="H351" s="8">
        <f t="shared" si="11"/>
        <v>223965</v>
      </c>
      <c r="I351" s="8">
        <v>10000</v>
      </c>
      <c r="J351" t="s">
        <v>261</v>
      </c>
      <c r="K351" s="12">
        <v>0</v>
      </c>
      <c r="L351" s="11">
        <v>0</v>
      </c>
      <c r="M351" s="11">
        <v>0</v>
      </c>
      <c r="N351" s="11">
        <v>0</v>
      </c>
      <c r="O351" s="11">
        <v>0</v>
      </c>
      <c r="P351" s="11">
        <v>0</v>
      </c>
      <c r="Q351" s="11">
        <v>0</v>
      </c>
      <c r="R351" s="11">
        <v>0</v>
      </c>
    </row>
    <row r="352" spans="1:18">
      <c r="A352" t="s">
        <v>374</v>
      </c>
      <c r="B352" s="6">
        <v>46062.265243055597</v>
      </c>
      <c r="C352" s="7" t="s">
        <v>19</v>
      </c>
      <c r="D352" s="8">
        <f t="shared" si="10"/>
        <v>39</v>
      </c>
      <c r="E352" s="8">
        <v>39</v>
      </c>
      <c r="F352" s="8"/>
      <c r="G352" s="8">
        <v>63.44</v>
      </c>
      <c r="H352" s="8">
        <f t="shared" si="11"/>
        <v>222040</v>
      </c>
      <c r="I352" s="8">
        <v>10000</v>
      </c>
      <c r="J352" t="s">
        <v>261</v>
      </c>
      <c r="K352" s="12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</row>
    <row r="353" spans="1:18">
      <c r="A353" t="s">
        <v>375</v>
      </c>
      <c r="B353" s="6">
        <v>46068.941018518497</v>
      </c>
      <c r="C353" s="7" t="s">
        <v>19</v>
      </c>
      <c r="D353" s="8">
        <f t="shared" si="10"/>
        <v>24</v>
      </c>
      <c r="E353" s="8">
        <v>24</v>
      </c>
      <c r="F353" s="8"/>
      <c r="G353" s="8">
        <v>63.27</v>
      </c>
      <c r="H353" s="8">
        <f t="shared" si="11"/>
        <v>221445</v>
      </c>
      <c r="I353" s="8">
        <v>10000</v>
      </c>
      <c r="J353" t="s">
        <v>261</v>
      </c>
      <c r="K353" s="12">
        <v>1</v>
      </c>
      <c r="L353" s="11">
        <v>0.39</v>
      </c>
      <c r="M353" s="11">
        <v>3.22</v>
      </c>
      <c r="N353" s="11">
        <v>2.12</v>
      </c>
      <c r="O353" s="11">
        <v>1.55</v>
      </c>
      <c r="P353" s="11">
        <v>1.68</v>
      </c>
      <c r="Q353" s="11">
        <v>1.55</v>
      </c>
      <c r="R353" s="11">
        <v>0.57999999999999996</v>
      </c>
    </row>
    <row r="354" spans="1:18">
      <c r="A354" t="s">
        <v>376</v>
      </c>
      <c r="B354" s="6">
        <v>46065.814606481501</v>
      </c>
      <c r="C354" s="7" t="s">
        <v>19</v>
      </c>
      <c r="D354" s="8">
        <f t="shared" si="10"/>
        <v>34</v>
      </c>
      <c r="E354" s="8">
        <v>34</v>
      </c>
      <c r="F354" s="8"/>
      <c r="G354" s="8">
        <v>63.14</v>
      </c>
      <c r="H354" s="8">
        <f t="shared" si="11"/>
        <v>220990</v>
      </c>
      <c r="I354" s="8">
        <v>10000</v>
      </c>
      <c r="J354" t="s">
        <v>261</v>
      </c>
      <c r="K354" s="12">
        <v>1</v>
      </c>
      <c r="L354" s="11">
        <v>5.15</v>
      </c>
      <c r="M354" s="11">
        <v>5.15</v>
      </c>
      <c r="N354" s="11">
        <v>5.15</v>
      </c>
      <c r="O354" s="11">
        <v>5.15</v>
      </c>
      <c r="P354" s="11">
        <v>0</v>
      </c>
      <c r="Q354" s="11">
        <v>5.15</v>
      </c>
      <c r="R354" s="11">
        <v>0</v>
      </c>
    </row>
    <row r="355" spans="1:18">
      <c r="A355" t="s">
        <v>377</v>
      </c>
      <c r="B355" s="6">
        <v>46068.872337963003</v>
      </c>
      <c r="C355" s="7" t="s">
        <v>19</v>
      </c>
      <c r="D355" s="8">
        <f t="shared" si="10"/>
        <v>34</v>
      </c>
      <c r="E355" s="8">
        <v>34</v>
      </c>
      <c r="F355" s="8"/>
      <c r="G355" s="8">
        <v>63.07</v>
      </c>
      <c r="H355" s="8">
        <f t="shared" si="11"/>
        <v>220745</v>
      </c>
      <c r="I355" s="8">
        <v>10000</v>
      </c>
      <c r="J355" t="s">
        <v>261</v>
      </c>
      <c r="K355" s="12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</row>
    <row r="356" spans="1:18">
      <c r="A356" t="s">
        <v>378</v>
      </c>
      <c r="B356" s="6">
        <v>46020.9940740741</v>
      </c>
      <c r="C356" s="7" t="s">
        <v>19</v>
      </c>
      <c r="D356" s="8">
        <f t="shared" si="10"/>
        <v>46</v>
      </c>
      <c r="E356" s="8">
        <v>46</v>
      </c>
      <c r="F356" s="8"/>
      <c r="G356" s="8">
        <v>62.95</v>
      </c>
      <c r="H356" s="8">
        <f t="shared" si="11"/>
        <v>220325</v>
      </c>
      <c r="I356" s="8">
        <v>10000</v>
      </c>
      <c r="J356" t="s">
        <v>261</v>
      </c>
      <c r="K356" s="12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</row>
    <row r="357" spans="1:18">
      <c r="A357" t="s">
        <v>379</v>
      </c>
      <c r="B357" s="6">
        <v>46012.847071759301</v>
      </c>
      <c r="C357" s="7" t="s">
        <v>19</v>
      </c>
      <c r="D357" s="8">
        <f t="shared" si="10"/>
        <v>25</v>
      </c>
      <c r="E357" s="8">
        <v>25</v>
      </c>
      <c r="F357" s="8"/>
      <c r="G357" s="8">
        <v>62.89</v>
      </c>
      <c r="H357" s="8">
        <f t="shared" si="11"/>
        <v>220115</v>
      </c>
      <c r="I357" s="8">
        <v>10000</v>
      </c>
      <c r="J357" t="s">
        <v>261</v>
      </c>
      <c r="K357" s="12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0</v>
      </c>
      <c r="R357" s="11">
        <v>0</v>
      </c>
    </row>
    <row r="358" spans="1:18">
      <c r="A358" t="s">
        <v>380</v>
      </c>
      <c r="B358" s="6">
        <v>45947.430023148103</v>
      </c>
      <c r="C358" s="7" t="s">
        <v>19</v>
      </c>
      <c r="D358" s="8">
        <f t="shared" si="10"/>
        <v>45</v>
      </c>
      <c r="E358" s="8">
        <v>45</v>
      </c>
      <c r="F358" s="8"/>
      <c r="G358" s="8">
        <v>61.86</v>
      </c>
      <c r="H358" s="8">
        <f t="shared" si="11"/>
        <v>216510</v>
      </c>
      <c r="I358" s="8">
        <v>10000</v>
      </c>
      <c r="J358" t="s">
        <v>261</v>
      </c>
      <c r="K358" s="12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</row>
    <row r="359" spans="1:18">
      <c r="A359" t="s">
        <v>381</v>
      </c>
      <c r="B359" s="6">
        <v>46029.7667013889</v>
      </c>
      <c r="C359" s="7" t="s">
        <v>19</v>
      </c>
      <c r="D359" s="8">
        <f t="shared" si="10"/>
        <v>26</v>
      </c>
      <c r="E359" s="8">
        <v>26</v>
      </c>
      <c r="F359" s="8"/>
      <c r="G359" s="8">
        <v>61.44</v>
      </c>
      <c r="H359" s="8">
        <f t="shared" si="11"/>
        <v>215040</v>
      </c>
      <c r="I359" s="8">
        <v>10000</v>
      </c>
      <c r="J359" t="s">
        <v>261</v>
      </c>
      <c r="K359" s="12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</row>
    <row r="360" spans="1:18">
      <c r="A360" t="s">
        <v>382</v>
      </c>
      <c r="B360" s="6">
        <v>46046.373935185198</v>
      </c>
      <c r="C360" s="7" t="s">
        <v>19</v>
      </c>
      <c r="D360" s="8">
        <f t="shared" si="10"/>
        <v>32</v>
      </c>
      <c r="E360" s="8">
        <v>32</v>
      </c>
      <c r="F360" s="8"/>
      <c r="G360" s="8">
        <v>61.08</v>
      </c>
      <c r="H360" s="8">
        <f t="shared" si="11"/>
        <v>213780</v>
      </c>
      <c r="I360" s="8">
        <v>10000</v>
      </c>
      <c r="J360" t="s">
        <v>261</v>
      </c>
      <c r="K360" s="12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</row>
    <row r="361" spans="1:18">
      <c r="A361" t="s">
        <v>383</v>
      </c>
      <c r="B361" s="6">
        <v>46025.2014583333</v>
      </c>
      <c r="C361" s="7" t="s">
        <v>19</v>
      </c>
      <c r="D361" s="8">
        <f t="shared" si="10"/>
        <v>30</v>
      </c>
      <c r="E361" s="8">
        <v>30</v>
      </c>
      <c r="F361" s="8"/>
      <c r="G361" s="8">
        <v>60.82</v>
      </c>
      <c r="H361" s="8">
        <f t="shared" si="11"/>
        <v>212870</v>
      </c>
      <c r="I361" s="8">
        <v>10000</v>
      </c>
      <c r="J361" t="s">
        <v>261</v>
      </c>
      <c r="K361" s="12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</row>
    <row r="362" spans="1:18">
      <c r="A362" t="s">
        <v>384</v>
      </c>
      <c r="B362" s="6">
        <v>46050.786388888897</v>
      </c>
      <c r="C362" s="7" t="s">
        <v>19</v>
      </c>
      <c r="D362" s="8">
        <f t="shared" si="10"/>
        <v>33</v>
      </c>
      <c r="E362" s="8">
        <v>33</v>
      </c>
      <c r="F362" s="8"/>
      <c r="G362" s="8">
        <v>60.7</v>
      </c>
      <c r="H362" s="8">
        <f t="shared" si="11"/>
        <v>212450</v>
      </c>
      <c r="I362" s="8">
        <v>10000</v>
      </c>
      <c r="J362" t="s">
        <v>261</v>
      </c>
      <c r="K362" s="12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</row>
    <row r="363" spans="1:18">
      <c r="A363" t="s">
        <v>385</v>
      </c>
      <c r="B363" s="6">
        <v>46065.475694444402</v>
      </c>
      <c r="C363" s="7" t="s">
        <v>19</v>
      </c>
      <c r="D363" s="8">
        <f t="shared" si="10"/>
        <v>26</v>
      </c>
      <c r="E363" s="8">
        <v>26</v>
      </c>
      <c r="F363" s="8"/>
      <c r="G363" s="8">
        <v>60.31</v>
      </c>
      <c r="H363" s="8">
        <f t="shared" si="11"/>
        <v>211085</v>
      </c>
      <c r="I363" s="8">
        <v>10000</v>
      </c>
      <c r="J363" t="s">
        <v>261</v>
      </c>
      <c r="K363" s="12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</row>
    <row r="364" spans="1:18">
      <c r="A364" t="s">
        <v>386</v>
      </c>
      <c r="B364" s="6">
        <v>45995.766550925902</v>
      </c>
      <c r="C364" s="7" t="s">
        <v>19</v>
      </c>
      <c r="D364" s="8">
        <f t="shared" si="10"/>
        <v>21</v>
      </c>
      <c r="E364" s="8">
        <v>21</v>
      </c>
      <c r="F364" s="8"/>
      <c r="G364" s="8">
        <v>59.79</v>
      </c>
      <c r="H364" s="8">
        <f t="shared" si="11"/>
        <v>209265</v>
      </c>
      <c r="I364" s="8">
        <v>10000</v>
      </c>
      <c r="J364" t="s">
        <v>261</v>
      </c>
      <c r="K364" s="12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</row>
    <row r="365" spans="1:18">
      <c r="A365" t="s">
        <v>387</v>
      </c>
      <c r="B365" s="6">
        <v>46040.4217824074</v>
      </c>
      <c r="C365" s="7" t="s">
        <v>19</v>
      </c>
      <c r="D365" s="8">
        <f t="shared" si="10"/>
        <v>27</v>
      </c>
      <c r="E365" s="8">
        <v>27</v>
      </c>
      <c r="F365" s="8"/>
      <c r="G365" s="8">
        <v>58.14</v>
      </c>
      <c r="H365" s="8">
        <f t="shared" si="11"/>
        <v>203490</v>
      </c>
      <c r="I365" s="8">
        <v>10000</v>
      </c>
      <c r="J365" t="s">
        <v>261</v>
      </c>
      <c r="K365" s="12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</row>
    <row r="366" spans="1:18">
      <c r="A366" t="s">
        <v>388</v>
      </c>
      <c r="B366" s="6">
        <v>46030.458252314798</v>
      </c>
      <c r="C366" s="7" t="s">
        <v>19</v>
      </c>
      <c r="D366" s="8">
        <f t="shared" si="10"/>
        <v>134</v>
      </c>
      <c r="E366" s="8">
        <v>134</v>
      </c>
      <c r="F366" s="8"/>
      <c r="G366" s="8">
        <v>57.99</v>
      </c>
      <c r="H366" s="8">
        <f t="shared" si="11"/>
        <v>202965</v>
      </c>
      <c r="I366" s="8">
        <v>10000</v>
      </c>
      <c r="J366" t="s">
        <v>261</v>
      </c>
      <c r="K366" s="12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</row>
    <row r="367" spans="1:18">
      <c r="A367" t="s">
        <v>389</v>
      </c>
      <c r="B367" s="6">
        <v>45997.417013888902</v>
      </c>
      <c r="C367" s="7" t="s">
        <v>19</v>
      </c>
      <c r="D367" s="8">
        <f t="shared" si="10"/>
        <v>26</v>
      </c>
      <c r="E367" s="8">
        <v>26</v>
      </c>
      <c r="F367" s="8"/>
      <c r="G367" s="8">
        <v>57.95</v>
      </c>
      <c r="H367" s="8">
        <f t="shared" si="11"/>
        <v>202825</v>
      </c>
      <c r="I367" s="8">
        <v>10000</v>
      </c>
      <c r="J367" t="s">
        <v>261</v>
      </c>
      <c r="K367" s="12">
        <v>0</v>
      </c>
      <c r="L367" s="11">
        <v>0</v>
      </c>
      <c r="M367" s="11">
        <v>0</v>
      </c>
      <c r="N367" s="11">
        <v>0</v>
      </c>
      <c r="O367" s="11">
        <v>0</v>
      </c>
      <c r="P367" s="11">
        <v>0</v>
      </c>
      <c r="Q367" s="11">
        <v>0</v>
      </c>
      <c r="R367" s="11">
        <v>0</v>
      </c>
    </row>
    <row r="368" spans="1:18">
      <c r="A368" t="s">
        <v>390</v>
      </c>
      <c r="B368" s="6">
        <v>46053.225358796299</v>
      </c>
      <c r="C368" s="7" t="s">
        <v>19</v>
      </c>
      <c r="D368" s="8">
        <f t="shared" si="10"/>
        <v>24</v>
      </c>
      <c r="E368" s="8">
        <v>24</v>
      </c>
      <c r="F368" s="8"/>
      <c r="G368" s="8">
        <v>57.6</v>
      </c>
      <c r="H368" s="8">
        <f t="shared" si="11"/>
        <v>201600</v>
      </c>
      <c r="I368" s="8">
        <v>10000</v>
      </c>
      <c r="J368" t="s">
        <v>261</v>
      </c>
      <c r="K368" s="12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0</v>
      </c>
      <c r="R368" s="11">
        <v>0</v>
      </c>
    </row>
    <row r="369" spans="1:18">
      <c r="A369" t="s">
        <v>391</v>
      </c>
      <c r="B369" s="6">
        <v>46000.938090277799</v>
      </c>
      <c r="C369" s="7" t="s">
        <v>19</v>
      </c>
      <c r="D369" s="8">
        <f t="shared" si="10"/>
        <v>67</v>
      </c>
      <c r="E369" s="8">
        <v>67</v>
      </c>
      <c r="F369" s="8"/>
      <c r="G369" s="8">
        <v>57.26</v>
      </c>
      <c r="H369" s="8">
        <f t="shared" si="11"/>
        <v>200410</v>
      </c>
      <c r="I369" s="8">
        <v>10000</v>
      </c>
      <c r="J369" t="s">
        <v>261</v>
      </c>
      <c r="K369" s="12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</row>
    <row r="370" spans="1:18">
      <c r="A370" t="s">
        <v>392</v>
      </c>
      <c r="B370" s="6">
        <v>46068.424282407403</v>
      </c>
      <c r="C370" s="7" t="s">
        <v>19</v>
      </c>
      <c r="D370" s="8">
        <f t="shared" si="10"/>
        <v>25</v>
      </c>
      <c r="E370" s="8">
        <v>25</v>
      </c>
      <c r="F370" s="8"/>
      <c r="G370" s="8">
        <v>56.98</v>
      </c>
      <c r="H370" s="8">
        <f t="shared" si="11"/>
        <v>199430</v>
      </c>
      <c r="I370" s="8">
        <v>10000</v>
      </c>
      <c r="J370" t="s">
        <v>261</v>
      </c>
      <c r="K370" s="12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</row>
    <row r="371" spans="1:18">
      <c r="A371" t="s">
        <v>393</v>
      </c>
      <c r="B371" s="6">
        <v>46031.817777777796</v>
      </c>
      <c r="C371" s="7" t="s">
        <v>19</v>
      </c>
      <c r="D371" s="8">
        <f t="shared" si="10"/>
        <v>69</v>
      </c>
      <c r="E371" s="8">
        <v>69</v>
      </c>
      <c r="F371" s="8"/>
      <c r="G371" s="8">
        <v>56.7</v>
      </c>
      <c r="H371" s="8">
        <f t="shared" si="11"/>
        <v>198450</v>
      </c>
      <c r="I371" s="8">
        <v>10000</v>
      </c>
      <c r="J371" t="s">
        <v>261</v>
      </c>
      <c r="K371" s="12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</row>
    <row r="372" spans="1:18">
      <c r="A372" t="s">
        <v>394</v>
      </c>
      <c r="B372" s="6">
        <v>46068.591689814799</v>
      </c>
      <c r="C372" s="7" t="s">
        <v>19</v>
      </c>
      <c r="D372" s="8">
        <f t="shared" si="10"/>
        <v>47</v>
      </c>
      <c r="E372" s="8">
        <v>47</v>
      </c>
      <c r="F372" s="8"/>
      <c r="G372" s="8">
        <v>56.7</v>
      </c>
      <c r="H372" s="8">
        <f t="shared" si="11"/>
        <v>198450</v>
      </c>
      <c r="I372" s="8">
        <v>10000</v>
      </c>
      <c r="J372" t="s">
        <v>261</v>
      </c>
      <c r="K372" s="12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</row>
    <row r="373" spans="1:18">
      <c r="A373" t="s">
        <v>395</v>
      </c>
      <c r="B373" s="6">
        <v>46043.410451388903</v>
      </c>
      <c r="C373" s="7" t="s">
        <v>19</v>
      </c>
      <c r="D373" s="8">
        <f t="shared" si="10"/>
        <v>45</v>
      </c>
      <c r="E373" s="8">
        <v>45</v>
      </c>
      <c r="F373" s="8"/>
      <c r="G373" s="8">
        <v>56.7</v>
      </c>
      <c r="H373" s="8">
        <f t="shared" si="11"/>
        <v>198450</v>
      </c>
      <c r="I373" s="8">
        <v>10000</v>
      </c>
      <c r="J373" t="s">
        <v>261</v>
      </c>
      <c r="K373" s="12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</row>
    <row r="374" spans="1:18">
      <c r="A374" t="s">
        <v>396</v>
      </c>
      <c r="B374" s="6">
        <v>46057.1541782407</v>
      </c>
      <c r="C374" s="7" t="s">
        <v>19</v>
      </c>
      <c r="D374" s="8">
        <f t="shared" si="10"/>
        <v>25</v>
      </c>
      <c r="E374" s="8">
        <v>25</v>
      </c>
      <c r="F374" s="8"/>
      <c r="G374" s="8">
        <v>56.7</v>
      </c>
      <c r="H374" s="8">
        <f t="shared" si="11"/>
        <v>198450</v>
      </c>
      <c r="I374" s="8">
        <v>10000</v>
      </c>
      <c r="J374" t="s">
        <v>261</v>
      </c>
      <c r="K374" s="12">
        <v>0</v>
      </c>
      <c r="L374" s="11">
        <v>0</v>
      </c>
      <c r="M374" s="11">
        <v>0.03</v>
      </c>
      <c r="N374" s="11">
        <v>0.03</v>
      </c>
      <c r="O374" s="11">
        <v>0.03</v>
      </c>
      <c r="P374" s="11">
        <v>0</v>
      </c>
      <c r="Q374" s="11">
        <v>0.03</v>
      </c>
      <c r="R374" s="11">
        <v>0</v>
      </c>
    </row>
    <row r="375" spans="1:18">
      <c r="A375" t="s">
        <v>397</v>
      </c>
      <c r="B375" s="6">
        <v>45995.224120370403</v>
      </c>
      <c r="C375" s="7" t="s">
        <v>19</v>
      </c>
      <c r="D375" s="8">
        <f t="shared" si="10"/>
        <v>36</v>
      </c>
      <c r="E375" s="8">
        <v>36</v>
      </c>
      <c r="F375" s="8"/>
      <c r="G375" s="8">
        <v>56.12</v>
      </c>
      <c r="H375" s="8">
        <f t="shared" si="11"/>
        <v>196420</v>
      </c>
      <c r="I375" s="8">
        <v>10000</v>
      </c>
      <c r="J375" t="s">
        <v>261</v>
      </c>
      <c r="K375" s="12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0</v>
      </c>
      <c r="R375" s="11">
        <v>0</v>
      </c>
    </row>
    <row r="376" spans="1:18">
      <c r="A376" t="s">
        <v>398</v>
      </c>
      <c r="B376" s="6">
        <v>46018.554699074099</v>
      </c>
      <c r="C376" s="7" t="s">
        <v>19</v>
      </c>
      <c r="D376" s="8">
        <f t="shared" si="10"/>
        <v>35</v>
      </c>
      <c r="E376" s="8">
        <v>35</v>
      </c>
      <c r="F376" s="8"/>
      <c r="G376" s="8">
        <v>55.93</v>
      </c>
      <c r="H376" s="8">
        <f t="shared" si="11"/>
        <v>195755</v>
      </c>
      <c r="I376" s="8">
        <v>10000</v>
      </c>
      <c r="J376" t="s">
        <v>261</v>
      </c>
      <c r="K376" s="12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</row>
    <row r="377" spans="1:18">
      <c r="A377" t="s">
        <v>399</v>
      </c>
      <c r="B377" s="6">
        <v>45988.750150462998</v>
      </c>
      <c r="C377" s="7" t="s">
        <v>19</v>
      </c>
      <c r="D377" s="8">
        <f t="shared" si="10"/>
        <v>29</v>
      </c>
      <c r="E377" s="8">
        <v>29</v>
      </c>
      <c r="F377" s="8"/>
      <c r="G377" s="8">
        <v>55.67</v>
      </c>
      <c r="H377" s="8">
        <f t="shared" si="11"/>
        <v>194845</v>
      </c>
      <c r="I377" s="8">
        <v>10000</v>
      </c>
      <c r="J377" t="s">
        <v>261</v>
      </c>
      <c r="K377" s="12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</row>
    <row r="378" spans="1:18">
      <c r="A378" t="s">
        <v>400</v>
      </c>
      <c r="B378" s="6">
        <v>46026.633460648103</v>
      </c>
      <c r="C378" s="7" t="s">
        <v>19</v>
      </c>
      <c r="D378" s="8">
        <f t="shared" si="10"/>
        <v>38</v>
      </c>
      <c r="E378" s="8">
        <v>38</v>
      </c>
      <c r="F378" s="8"/>
      <c r="G378" s="8">
        <v>55.08</v>
      </c>
      <c r="H378" s="8">
        <f t="shared" si="11"/>
        <v>192780</v>
      </c>
      <c r="I378" s="8">
        <v>10000</v>
      </c>
      <c r="J378" t="s">
        <v>261</v>
      </c>
      <c r="K378" s="12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</row>
    <row r="379" spans="1:18">
      <c r="A379" t="s">
        <v>401</v>
      </c>
      <c r="B379" s="6">
        <v>46065.853564814803</v>
      </c>
      <c r="C379" s="7" t="s">
        <v>19</v>
      </c>
      <c r="D379" s="8">
        <f t="shared" si="10"/>
        <v>31</v>
      </c>
      <c r="E379" s="8">
        <v>31</v>
      </c>
      <c r="F379" s="8"/>
      <c r="G379" s="8">
        <v>53.76</v>
      </c>
      <c r="H379" s="8">
        <f t="shared" si="11"/>
        <v>188160</v>
      </c>
      <c r="I379" s="8">
        <v>10000</v>
      </c>
      <c r="J379" t="s">
        <v>261</v>
      </c>
      <c r="K379" s="12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</row>
    <row r="380" spans="1:18">
      <c r="A380" t="s">
        <v>402</v>
      </c>
      <c r="B380" s="6">
        <v>46063.945914351898</v>
      </c>
      <c r="C380" s="7" t="s">
        <v>19</v>
      </c>
      <c r="D380" s="8">
        <f t="shared" si="10"/>
        <v>32</v>
      </c>
      <c r="E380" s="8">
        <v>32</v>
      </c>
      <c r="F380" s="8"/>
      <c r="G380" s="8">
        <v>53.22</v>
      </c>
      <c r="H380" s="8">
        <f t="shared" si="11"/>
        <v>186270</v>
      </c>
      <c r="I380" s="8">
        <v>10000</v>
      </c>
      <c r="J380" t="s">
        <v>261</v>
      </c>
      <c r="K380" s="12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0</v>
      </c>
      <c r="R380" s="11">
        <v>0</v>
      </c>
    </row>
    <row r="381" spans="1:18">
      <c r="A381" t="s">
        <v>403</v>
      </c>
      <c r="B381" s="6">
        <v>46046.638854166697</v>
      </c>
      <c r="C381" s="7" t="s">
        <v>19</v>
      </c>
      <c r="D381" s="8">
        <f t="shared" si="10"/>
        <v>32</v>
      </c>
      <c r="E381" s="8">
        <v>32</v>
      </c>
      <c r="F381" s="8"/>
      <c r="G381" s="8">
        <v>52.32</v>
      </c>
      <c r="H381" s="8">
        <f t="shared" si="11"/>
        <v>183120</v>
      </c>
      <c r="I381" s="8">
        <v>10000</v>
      </c>
      <c r="J381" t="s">
        <v>261</v>
      </c>
      <c r="K381" s="12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</row>
    <row r="382" spans="1:18">
      <c r="A382" t="s">
        <v>404</v>
      </c>
      <c r="B382" s="6">
        <v>45995.899826388901</v>
      </c>
      <c r="C382" s="7" t="s">
        <v>19</v>
      </c>
      <c r="D382" s="8">
        <f t="shared" si="10"/>
        <v>26</v>
      </c>
      <c r="E382" s="8">
        <v>26</v>
      </c>
      <c r="F382" s="8"/>
      <c r="G382" s="8">
        <v>52.18</v>
      </c>
      <c r="H382" s="8">
        <f t="shared" si="11"/>
        <v>182630</v>
      </c>
      <c r="I382" s="8">
        <v>10000</v>
      </c>
      <c r="J382" t="s">
        <v>261</v>
      </c>
      <c r="K382" s="12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</row>
    <row r="383" spans="1:18">
      <c r="A383" t="s">
        <v>405</v>
      </c>
      <c r="B383" s="6">
        <v>46053.520798611098</v>
      </c>
      <c r="C383" s="7" t="s">
        <v>19</v>
      </c>
      <c r="D383" s="8">
        <f t="shared" si="10"/>
        <v>23</v>
      </c>
      <c r="E383" s="8">
        <v>23</v>
      </c>
      <c r="F383" s="8"/>
      <c r="G383" s="8">
        <v>52.06</v>
      </c>
      <c r="H383" s="8">
        <f t="shared" si="11"/>
        <v>182210</v>
      </c>
      <c r="I383" s="8">
        <v>10000</v>
      </c>
      <c r="J383" t="s">
        <v>261</v>
      </c>
      <c r="K383" s="12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0</v>
      </c>
      <c r="R383" s="11">
        <v>0</v>
      </c>
    </row>
    <row r="384" spans="1:18">
      <c r="A384" t="s">
        <v>406</v>
      </c>
      <c r="B384" s="6">
        <v>46005.755405092597</v>
      </c>
      <c r="C384" s="7" t="s">
        <v>19</v>
      </c>
      <c r="D384" s="8">
        <f t="shared" si="10"/>
        <v>21</v>
      </c>
      <c r="E384" s="8">
        <v>21</v>
      </c>
      <c r="F384" s="8"/>
      <c r="G384" s="8">
        <v>51.55</v>
      </c>
      <c r="H384" s="8">
        <f t="shared" si="11"/>
        <v>180425</v>
      </c>
      <c r="I384" s="8">
        <v>10000</v>
      </c>
      <c r="J384" t="s">
        <v>261</v>
      </c>
      <c r="K384" s="12">
        <v>0</v>
      </c>
      <c r="L384" s="11">
        <v>0</v>
      </c>
      <c r="M384" s="11">
        <v>0</v>
      </c>
      <c r="N384" s="11">
        <v>0</v>
      </c>
      <c r="O384" s="11">
        <v>0</v>
      </c>
      <c r="P384" s="11">
        <v>0</v>
      </c>
      <c r="Q384" s="11">
        <v>0</v>
      </c>
      <c r="R384" s="11">
        <v>0</v>
      </c>
    </row>
    <row r="385" spans="1:18">
      <c r="A385" t="s">
        <v>407</v>
      </c>
      <c r="B385" s="6">
        <v>46040.931331018503</v>
      </c>
      <c r="C385" s="7" t="s">
        <v>19</v>
      </c>
      <c r="D385" s="8">
        <f t="shared" si="10"/>
        <v>36</v>
      </c>
      <c r="E385" s="8">
        <v>36</v>
      </c>
      <c r="F385" s="8"/>
      <c r="G385" s="8">
        <v>50.52</v>
      </c>
      <c r="H385" s="8">
        <f t="shared" si="11"/>
        <v>176820</v>
      </c>
      <c r="I385" s="8">
        <v>10000</v>
      </c>
      <c r="J385" t="s">
        <v>261</v>
      </c>
      <c r="K385" s="12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</row>
    <row r="386" spans="1:18">
      <c r="A386" t="s">
        <v>408</v>
      </c>
      <c r="B386" s="6">
        <v>46042.829942129603</v>
      </c>
      <c r="C386" s="7" t="s">
        <v>19</v>
      </c>
      <c r="D386" s="8">
        <f t="shared" ref="D386:D449" si="12">E386+F386</f>
        <v>23</v>
      </c>
      <c r="E386" s="8">
        <v>23</v>
      </c>
      <c r="F386" s="8"/>
      <c r="G386" s="8">
        <v>50.52</v>
      </c>
      <c r="H386" s="8">
        <f t="shared" ref="H386:H449" si="13">G386*3500</f>
        <v>176820</v>
      </c>
      <c r="I386" s="8">
        <v>10000</v>
      </c>
      <c r="J386" t="s">
        <v>261</v>
      </c>
      <c r="K386" s="12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0</v>
      </c>
      <c r="R386" s="11">
        <v>0</v>
      </c>
    </row>
    <row r="387" spans="1:18">
      <c r="A387" t="s">
        <v>409</v>
      </c>
      <c r="B387" s="6">
        <v>45998.540173611102</v>
      </c>
      <c r="C387" s="7" t="s">
        <v>19</v>
      </c>
      <c r="D387" s="8">
        <f t="shared" si="12"/>
        <v>63</v>
      </c>
      <c r="E387" s="8">
        <v>63</v>
      </c>
      <c r="F387" s="8"/>
      <c r="G387" s="8">
        <v>48.71</v>
      </c>
      <c r="H387" s="8">
        <f t="shared" si="13"/>
        <v>170485</v>
      </c>
      <c r="I387" s="8">
        <v>10000</v>
      </c>
      <c r="J387" t="s">
        <v>261</v>
      </c>
      <c r="K387" s="12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0</v>
      </c>
      <c r="R387" s="11">
        <v>0</v>
      </c>
    </row>
    <row r="388" spans="1:18">
      <c r="A388" t="s">
        <v>410</v>
      </c>
      <c r="B388" s="6">
        <v>45948.654907407399</v>
      </c>
      <c r="C388" s="7" t="s">
        <v>19</v>
      </c>
      <c r="D388" s="8">
        <f t="shared" si="12"/>
        <v>66</v>
      </c>
      <c r="E388" s="8">
        <v>66</v>
      </c>
      <c r="F388" s="8"/>
      <c r="G388" s="8">
        <v>48.2</v>
      </c>
      <c r="H388" s="8">
        <f t="shared" si="13"/>
        <v>168700</v>
      </c>
      <c r="I388" s="8">
        <v>10000</v>
      </c>
      <c r="J388" t="s">
        <v>261</v>
      </c>
      <c r="K388" s="12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</row>
    <row r="389" spans="1:18">
      <c r="A389" t="s">
        <v>411</v>
      </c>
      <c r="B389" s="6">
        <v>46034.738530092603</v>
      </c>
      <c r="C389" s="7" t="s">
        <v>19</v>
      </c>
      <c r="D389" s="8">
        <f t="shared" si="12"/>
        <v>43</v>
      </c>
      <c r="E389" s="8">
        <v>43</v>
      </c>
      <c r="F389" s="8"/>
      <c r="G389" s="8">
        <v>48.2</v>
      </c>
      <c r="H389" s="8">
        <f t="shared" si="13"/>
        <v>168700</v>
      </c>
      <c r="I389" s="8">
        <v>10000</v>
      </c>
      <c r="J389" t="s">
        <v>261</v>
      </c>
      <c r="K389" s="12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</row>
    <row r="390" spans="1:18">
      <c r="A390" t="s">
        <v>412</v>
      </c>
      <c r="B390" s="6">
        <v>46068.612187500003</v>
      </c>
      <c r="C390" s="7" t="s">
        <v>19</v>
      </c>
      <c r="D390" s="8">
        <f t="shared" si="12"/>
        <v>36</v>
      </c>
      <c r="E390" s="8">
        <v>36</v>
      </c>
      <c r="F390" s="8"/>
      <c r="G390" s="8">
        <v>47.16</v>
      </c>
      <c r="H390" s="8">
        <f t="shared" si="13"/>
        <v>165060</v>
      </c>
      <c r="I390" s="8">
        <v>10000</v>
      </c>
      <c r="J390" t="s">
        <v>261</v>
      </c>
      <c r="K390" s="12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</row>
    <row r="391" spans="1:18">
      <c r="A391" t="s">
        <v>413</v>
      </c>
      <c r="B391" s="6">
        <v>46060.508900462999</v>
      </c>
      <c r="C391" s="7" t="s">
        <v>19</v>
      </c>
      <c r="D391" s="8">
        <f t="shared" si="12"/>
        <v>25</v>
      </c>
      <c r="E391" s="8">
        <v>25</v>
      </c>
      <c r="F391" s="8"/>
      <c r="G391" s="8">
        <v>46.19</v>
      </c>
      <c r="H391" s="8">
        <f t="shared" si="13"/>
        <v>161665</v>
      </c>
      <c r="I391" s="8">
        <v>10000</v>
      </c>
      <c r="J391" t="s">
        <v>261</v>
      </c>
      <c r="K391" s="12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</row>
    <row r="392" spans="1:18">
      <c r="A392" t="s">
        <v>414</v>
      </c>
      <c r="B392" s="6">
        <v>46069.918993055602</v>
      </c>
      <c r="C392" s="7" t="s">
        <v>19</v>
      </c>
      <c r="D392" s="8">
        <f t="shared" si="12"/>
        <v>22</v>
      </c>
      <c r="E392" s="8">
        <v>22</v>
      </c>
      <c r="F392" s="8"/>
      <c r="G392" s="8">
        <v>45.57</v>
      </c>
      <c r="H392" s="8">
        <f t="shared" si="13"/>
        <v>159495</v>
      </c>
      <c r="I392" s="8">
        <v>10000</v>
      </c>
      <c r="J392" t="s">
        <v>261</v>
      </c>
      <c r="K392" s="12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0</v>
      </c>
      <c r="R392" s="11">
        <v>0</v>
      </c>
    </row>
    <row r="393" spans="1:18">
      <c r="A393" t="s">
        <v>415</v>
      </c>
      <c r="B393" s="6">
        <v>46046.962500000001</v>
      </c>
      <c r="C393" s="7" t="s">
        <v>19</v>
      </c>
      <c r="D393" s="8">
        <f t="shared" si="12"/>
        <v>25</v>
      </c>
      <c r="E393" s="8">
        <v>25</v>
      </c>
      <c r="F393" s="8"/>
      <c r="G393" s="8">
        <v>44.97</v>
      </c>
      <c r="H393" s="8">
        <f t="shared" si="13"/>
        <v>157395</v>
      </c>
      <c r="I393" s="8">
        <v>10000</v>
      </c>
      <c r="J393" t="s">
        <v>261</v>
      </c>
      <c r="K393" s="12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Q393" s="11">
        <v>0</v>
      </c>
      <c r="R393" s="11">
        <v>0</v>
      </c>
    </row>
    <row r="394" spans="1:18">
      <c r="A394" t="s">
        <v>416</v>
      </c>
      <c r="B394" s="6">
        <v>46025.179942129602</v>
      </c>
      <c r="C394" s="7" t="s">
        <v>19</v>
      </c>
      <c r="D394" s="8">
        <f t="shared" si="12"/>
        <v>34</v>
      </c>
      <c r="E394" s="8">
        <v>34</v>
      </c>
      <c r="F394" s="8"/>
      <c r="G394" s="8">
        <v>44.33</v>
      </c>
      <c r="H394" s="8">
        <f t="shared" si="13"/>
        <v>155155</v>
      </c>
      <c r="I394" s="8">
        <v>10000</v>
      </c>
      <c r="J394" t="s">
        <v>261</v>
      </c>
      <c r="K394" s="12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</row>
    <row r="395" spans="1:18">
      <c r="A395" t="s">
        <v>417</v>
      </c>
      <c r="B395" s="6">
        <v>46035.856400463003</v>
      </c>
      <c r="C395" s="7" t="s">
        <v>19</v>
      </c>
      <c r="D395" s="8">
        <f t="shared" si="12"/>
        <v>111</v>
      </c>
      <c r="E395" s="8">
        <v>111</v>
      </c>
      <c r="F395" s="8"/>
      <c r="G395" s="8">
        <v>44.1</v>
      </c>
      <c r="H395" s="8">
        <f t="shared" si="13"/>
        <v>154350</v>
      </c>
      <c r="I395" s="8">
        <v>10000</v>
      </c>
      <c r="J395" t="s">
        <v>261</v>
      </c>
      <c r="K395" s="12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</row>
    <row r="396" spans="1:18">
      <c r="A396" t="s">
        <v>418</v>
      </c>
      <c r="B396" s="6">
        <v>46043.697708333297</v>
      </c>
      <c r="C396" s="7" t="s">
        <v>19</v>
      </c>
      <c r="D396" s="8">
        <f t="shared" si="12"/>
        <v>24</v>
      </c>
      <c r="E396" s="8">
        <v>24</v>
      </c>
      <c r="F396" s="8"/>
      <c r="G396" s="8">
        <v>43.81</v>
      </c>
      <c r="H396" s="8">
        <f t="shared" si="13"/>
        <v>153335</v>
      </c>
      <c r="I396" s="8">
        <v>10000</v>
      </c>
      <c r="J396" t="s">
        <v>261</v>
      </c>
      <c r="K396" s="12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</row>
    <row r="397" spans="1:18">
      <c r="A397" t="s">
        <v>419</v>
      </c>
      <c r="B397" s="6">
        <v>46033.746689814798</v>
      </c>
      <c r="C397" s="7" t="s">
        <v>19</v>
      </c>
      <c r="D397" s="8">
        <f t="shared" si="12"/>
        <v>29</v>
      </c>
      <c r="E397" s="8">
        <v>29</v>
      </c>
      <c r="F397" s="8"/>
      <c r="G397" s="8">
        <v>43.56</v>
      </c>
      <c r="H397" s="8">
        <f t="shared" si="13"/>
        <v>152460</v>
      </c>
      <c r="I397" s="8">
        <v>10000</v>
      </c>
      <c r="J397" t="s">
        <v>261</v>
      </c>
      <c r="K397" s="12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</row>
    <row r="398" spans="1:18">
      <c r="A398" t="s">
        <v>420</v>
      </c>
      <c r="B398" s="6">
        <v>46011.361377314803</v>
      </c>
      <c r="C398" s="7" t="s">
        <v>19</v>
      </c>
      <c r="D398" s="8">
        <f t="shared" si="12"/>
        <v>27</v>
      </c>
      <c r="E398" s="8">
        <v>27</v>
      </c>
      <c r="F398" s="8"/>
      <c r="G398" s="8">
        <v>43.56</v>
      </c>
      <c r="H398" s="8">
        <f t="shared" si="13"/>
        <v>152460</v>
      </c>
      <c r="I398" s="8">
        <v>10000</v>
      </c>
      <c r="J398" t="s">
        <v>261</v>
      </c>
      <c r="K398" s="12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</row>
    <row r="399" spans="1:18">
      <c r="A399" t="s">
        <v>421</v>
      </c>
      <c r="B399" s="6">
        <v>45970.598194444399</v>
      </c>
      <c r="C399" s="7" t="s">
        <v>19</v>
      </c>
      <c r="D399" s="8">
        <f t="shared" si="12"/>
        <v>35</v>
      </c>
      <c r="E399" s="8">
        <v>35</v>
      </c>
      <c r="F399" s="8"/>
      <c r="G399" s="8">
        <v>42.78</v>
      </c>
      <c r="H399" s="8">
        <f t="shared" si="13"/>
        <v>149730</v>
      </c>
      <c r="I399" s="8">
        <v>10000</v>
      </c>
      <c r="J399" t="s">
        <v>261</v>
      </c>
      <c r="K399" s="12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0</v>
      </c>
      <c r="R399" s="11">
        <v>0</v>
      </c>
    </row>
    <row r="400" spans="1:18">
      <c r="A400" t="s">
        <v>422</v>
      </c>
      <c r="B400" s="6">
        <v>46013.671446759297</v>
      </c>
      <c r="C400" s="7" t="s">
        <v>19</v>
      </c>
      <c r="D400" s="8">
        <f t="shared" si="12"/>
        <v>53</v>
      </c>
      <c r="E400" s="8">
        <v>53</v>
      </c>
      <c r="F400" s="8"/>
      <c r="G400" s="8">
        <v>41.67</v>
      </c>
      <c r="H400" s="8">
        <f t="shared" si="13"/>
        <v>145845</v>
      </c>
      <c r="I400" s="8">
        <v>10000</v>
      </c>
      <c r="J400" t="s">
        <v>261</v>
      </c>
      <c r="K400" s="12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0</v>
      </c>
      <c r="R400" s="11">
        <v>0</v>
      </c>
    </row>
    <row r="401" spans="1:18">
      <c r="A401" t="s">
        <v>423</v>
      </c>
      <c r="B401" s="6">
        <v>46060.637048611097</v>
      </c>
      <c r="C401" s="7" t="s">
        <v>19</v>
      </c>
      <c r="D401" s="8">
        <f t="shared" si="12"/>
        <v>159</v>
      </c>
      <c r="E401" s="8">
        <v>159</v>
      </c>
      <c r="F401" s="8"/>
      <c r="G401" s="8">
        <v>41.66</v>
      </c>
      <c r="H401" s="8">
        <f t="shared" si="13"/>
        <v>145810</v>
      </c>
      <c r="I401" s="8">
        <v>10000</v>
      </c>
      <c r="J401" t="s">
        <v>261</v>
      </c>
      <c r="K401" s="12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0</v>
      </c>
    </row>
    <row r="402" spans="1:18">
      <c r="A402" t="s">
        <v>424</v>
      </c>
      <c r="B402" s="6">
        <v>46016.955439814803</v>
      </c>
      <c r="C402" s="7" t="s">
        <v>19</v>
      </c>
      <c r="D402" s="8">
        <f t="shared" si="12"/>
        <v>38</v>
      </c>
      <c r="E402" s="8">
        <v>38</v>
      </c>
      <c r="F402" s="8"/>
      <c r="G402" s="8">
        <v>41.37</v>
      </c>
      <c r="H402" s="8">
        <f t="shared" si="13"/>
        <v>144795</v>
      </c>
      <c r="I402" s="8">
        <v>10000</v>
      </c>
      <c r="J402" t="s">
        <v>261</v>
      </c>
      <c r="K402" s="12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0</v>
      </c>
      <c r="R402" s="11">
        <v>0</v>
      </c>
    </row>
    <row r="403" spans="1:18">
      <c r="A403" t="s">
        <v>425</v>
      </c>
      <c r="B403" s="6">
        <v>46065.688819444404</v>
      </c>
      <c r="C403" s="7" t="s">
        <v>19</v>
      </c>
      <c r="D403" s="8">
        <f t="shared" si="12"/>
        <v>40</v>
      </c>
      <c r="E403" s="8">
        <v>40</v>
      </c>
      <c r="F403" s="8"/>
      <c r="G403" s="8">
        <v>41.32</v>
      </c>
      <c r="H403" s="8">
        <f t="shared" si="13"/>
        <v>144620</v>
      </c>
      <c r="I403" s="8">
        <v>10000</v>
      </c>
      <c r="J403" t="s">
        <v>261</v>
      </c>
      <c r="K403" s="12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</row>
    <row r="404" spans="1:18">
      <c r="A404" t="s">
        <v>426</v>
      </c>
      <c r="B404" s="6">
        <v>46040.558865740699</v>
      </c>
      <c r="C404" s="7" t="s">
        <v>19</v>
      </c>
      <c r="D404" s="8">
        <f t="shared" si="12"/>
        <v>30</v>
      </c>
      <c r="E404" s="8">
        <v>30</v>
      </c>
      <c r="F404" s="8"/>
      <c r="G404" s="8">
        <v>41.13</v>
      </c>
      <c r="H404" s="8">
        <f t="shared" si="13"/>
        <v>143955</v>
      </c>
      <c r="I404" s="8">
        <v>10000</v>
      </c>
      <c r="J404" t="s">
        <v>261</v>
      </c>
      <c r="K404" s="12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0</v>
      </c>
      <c r="R404" s="11">
        <v>0</v>
      </c>
    </row>
    <row r="405" spans="1:18">
      <c r="A405" t="s">
        <v>427</v>
      </c>
      <c r="B405" s="6">
        <v>46055.738009259301</v>
      </c>
      <c r="C405" s="7" t="s">
        <v>19</v>
      </c>
      <c r="D405" s="8">
        <f t="shared" si="12"/>
        <v>28</v>
      </c>
      <c r="E405" s="8">
        <v>28</v>
      </c>
      <c r="F405" s="8"/>
      <c r="G405" s="8">
        <v>39.51</v>
      </c>
      <c r="H405" s="8">
        <f t="shared" si="13"/>
        <v>138285</v>
      </c>
      <c r="I405" s="8">
        <v>10000</v>
      </c>
      <c r="J405" t="s">
        <v>261</v>
      </c>
      <c r="K405" s="12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</row>
    <row r="406" spans="1:18">
      <c r="A406" t="s">
        <v>428</v>
      </c>
      <c r="B406" s="6">
        <v>45951.593715277799</v>
      </c>
      <c r="C406" s="7" t="s">
        <v>19</v>
      </c>
      <c r="D406" s="8">
        <f t="shared" si="12"/>
        <v>28</v>
      </c>
      <c r="E406" s="8">
        <v>28</v>
      </c>
      <c r="F406" s="8"/>
      <c r="G406" s="8">
        <v>39.43</v>
      </c>
      <c r="H406" s="8">
        <f t="shared" si="13"/>
        <v>138005</v>
      </c>
      <c r="I406" s="8">
        <v>10000</v>
      </c>
      <c r="J406" t="s">
        <v>261</v>
      </c>
      <c r="K406" s="12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0</v>
      </c>
      <c r="R406" s="11">
        <v>0</v>
      </c>
    </row>
    <row r="407" spans="1:18">
      <c r="A407" t="s">
        <v>429</v>
      </c>
      <c r="B407" s="6">
        <v>46020.925497685203</v>
      </c>
      <c r="C407" s="7" t="s">
        <v>19</v>
      </c>
      <c r="D407" s="8">
        <f t="shared" si="12"/>
        <v>83</v>
      </c>
      <c r="E407" s="8">
        <v>83</v>
      </c>
      <c r="F407" s="8"/>
      <c r="G407" s="8">
        <v>38.659999999999997</v>
      </c>
      <c r="H407" s="8">
        <f t="shared" si="13"/>
        <v>135310</v>
      </c>
      <c r="I407" s="8">
        <v>10000</v>
      </c>
      <c r="J407" t="s">
        <v>261</v>
      </c>
      <c r="K407" s="12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0</v>
      </c>
      <c r="R407" s="11">
        <v>0</v>
      </c>
    </row>
    <row r="408" spans="1:18">
      <c r="A408" t="s">
        <v>430</v>
      </c>
      <c r="B408" s="6">
        <v>45958.5410416667</v>
      </c>
      <c r="C408" s="7" t="s">
        <v>19</v>
      </c>
      <c r="D408" s="8">
        <f t="shared" si="12"/>
        <v>60</v>
      </c>
      <c r="E408" s="8">
        <v>60</v>
      </c>
      <c r="F408" s="8"/>
      <c r="G408" s="8">
        <v>37.24</v>
      </c>
      <c r="H408" s="8">
        <f t="shared" si="13"/>
        <v>130340</v>
      </c>
      <c r="I408" s="8">
        <v>10000</v>
      </c>
      <c r="J408" t="s">
        <v>261</v>
      </c>
      <c r="K408" s="12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</row>
    <row r="409" spans="1:18">
      <c r="A409" t="s">
        <v>431</v>
      </c>
      <c r="B409" s="6">
        <v>46026.684537036999</v>
      </c>
      <c r="C409" s="7" t="s">
        <v>19</v>
      </c>
      <c r="D409" s="8">
        <f t="shared" si="12"/>
        <v>26</v>
      </c>
      <c r="E409" s="8">
        <v>26</v>
      </c>
      <c r="F409" s="8"/>
      <c r="G409" s="8">
        <v>37.01</v>
      </c>
      <c r="H409" s="8">
        <f t="shared" si="13"/>
        <v>129535</v>
      </c>
      <c r="I409" s="8">
        <v>10000</v>
      </c>
      <c r="J409" t="s">
        <v>261</v>
      </c>
      <c r="K409" s="12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</row>
    <row r="410" spans="1:18">
      <c r="A410" t="s">
        <v>432</v>
      </c>
      <c r="B410" s="6">
        <v>46047.876412037003</v>
      </c>
      <c r="C410" s="7" t="s">
        <v>19</v>
      </c>
      <c r="D410" s="8">
        <f t="shared" si="12"/>
        <v>42</v>
      </c>
      <c r="E410" s="8">
        <v>42</v>
      </c>
      <c r="F410" s="8"/>
      <c r="G410" s="8">
        <v>36.130000000000003</v>
      </c>
      <c r="H410" s="8">
        <f t="shared" si="13"/>
        <v>126455</v>
      </c>
      <c r="I410" s="8">
        <v>10000</v>
      </c>
      <c r="J410" t="s">
        <v>261</v>
      </c>
      <c r="K410" s="12">
        <v>0</v>
      </c>
      <c r="L410" s="11">
        <v>0</v>
      </c>
      <c r="M410" s="11">
        <v>0</v>
      </c>
      <c r="N410" s="11">
        <v>0</v>
      </c>
      <c r="O410" s="11">
        <v>0</v>
      </c>
      <c r="P410" s="11">
        <v>0</v>
      </c>
      <c r="Q410" s="11">
        <v>0</v>
      </c>
      <c r="R410" s="11">
        <v>0</v>
      </c>
    </row>
    <row r="411" spans="1:18">
      <c r="A411" t="s">
        <v>433</v>
      </c>
      <c r="B411" s="6">
        <v>46014.776504629597</v>
      </c>
      <c r="C411" s="7" t="s">
        <v>19</v>
      </c>
      <c r="D411" s="8">
        <f t="shared" si="12"/>
        <v>32</v>
      </c>
      <c r="E411" s="8">
        <v>32</v>
      </c>
      <c r="F411" s="8"/>
      <c r="G411" s="8">
        <v>35.700000000000003</v>
      </c>
      <c r="H411" s="8">
        <f t="shared" si="13"/>
        <v>124950</v>
      </c>
      <c r="I411" s="8">
        <v>10000</v>
      </c>
      <c r="J411" t="s">
        <v>261</v>
      </c>
      <c r="K411" s="12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</row>
    <row r="412" spans="1:18">
      <c r="A412" t="s">
        <v>434</v>
      </c>
      <c r="B412" s="6">
        <v>46040.432708333297</v>
      </c>
      <c r="C412" s="7" t="s">
        <v>19</v>
      </c>
      <c r="D412" s="8">
        <f t="shared" si="12"/>
        <v>33</v>
      </c>
      <c r="E412" s="8">
        <v>33</v>
      </c>
      <c r="F412" s="8"/>
      <c r="G412" s="8">
        <v>34.479999999999997</v>
      </c>
      <c r="H412" s="8">
        <f t="shared" si="13"/>
        <v>120680</v>
      </c>
      <c r="I412" s="8">
        <v>10000</v>
      </c>
      <c r="J412" t="s">
        <v>261</v>
      </c>
      <c r="K412" s="12">
        <v>0</v>
      </c>
      <c r="L412" s="11">
        <v>0</v>
      </c>
      <c r="M412" s="11">
        <v>0</v>
      </c>
      <c r="N412" s="11">
        <v>0</v>
      </c>
      <c r="O412" s="11">
        <v>0</v>
      </c>
      <c r="P412" s="11">
        <v>0</v>
      </c>
      <c r="Q412" s="11">
        <v>0</v>
      </c>
      <c r="R412" s="11">
        <v>0</v>
      </c>
    </row>
    <row r="413" spans="1:18">
      <c r="A413" t="s">
        <v>435</v>
      </c>
      <c r="B413" s="6">
        <v>46057.713541666701</v>
      </c>
      <c r="C413" s="7" t="s">
        <v>19</v>
      </c>
      <c r="D413" s="8">
        <f t="shared" si="12"/>
        <v>42</v>
      </c>
      <c r="E413" s="8">
        <v>42</v>
      </c>
      <c r="F413" s="8"/>
      <c r="G413" s="8">
        <v>34.270000000000003</v>
      </c>
      <c r="H413" s="8">
        <f t="shared" si="13"/>
        <v>119945</v>
      </c>
      <c r="I413" s="8">
        <v>10000</v>
      </c>
      <c r="J413" t="s">
        <v>261</v>
      </c>
      <c r="K413" s="12">
        <v>1</v>
      </c>
      <c r="L413" s="11">
        <v>0.13</v>
      </c>
      <c r="M413" s="11">
        <v>0.13</v>
      </c>
      <c r="N413" s="11">
        <v>0.13</v>
      </c>
      <c r="O413" s="11">
        <v>0.13</v>
      </c>
      <c r="P413" s="11">
        <v>0</v>
      </c>
      <c r="Q413" s="11">
        <v>0.13</v>
      </c>
      <c r="R413" s="11">
        <v>0</v>
      </c>
    </row>
    <row r="414" spans="1:18">
      <c r="A414" t="s">
        <v>436</v>
      </c>
      <c r="B414" s="6">
        <v>45994.823946759301</v>
      </c>
      <c r="C414" s="7" t="s">
        <v>19</v>
      </c>
      <c r="D414" s="8">
        <f t="shared" si="12"/>
        <v>28</v>
      </c>
      <c r="E414" s="8">
        <v>28</v>
      </c>
      <c r="F414" s="8"/>
      <c r="G414" s="8">
        <v>33.76</v>
      </c>
      <c r="H414" s="8">
        <f t="shared" si="13"/>
        <v>118160</v>
      </c>
      <c r="I414" s="8">
        <v>10000</v>
      </c>
      <c r="J414" t="s">
        <v>261</v>
      </c>
      <c r="K414" s="12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</row>
    <row r="415" spans="1:18">
      <c r="A415" t="s">
        <v>437</v>
      </c>
      <c r="B415" s="6">
        <v>45955.288171296299</v>
      </c>
      <c r="C415" s="7" t="s">
        <v>19</v>
      </c>
      <c r="D415" s="8">
        <f t="shared" si="12"/>
        <v>49</v>
      </c>
      <c r="E415" s="8">
        <v>49</v>
      </c>
      <c r="F415" s="8"/>
      <c r="G415" s="8">
        <v>33.4</v>
      </c>
      <c r="H415" s="8">
        <f t="shared" si="13"/>
        <v>116900</v>
      </c>
      <c r="I415" s="8">
        <v>10000</v>
      </c>
      <c r="J415" t="s">
        <v>261</v>
      </c>
      <c r="K415" s="12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</row>
    <row r="416" spans="1:18">
      <c r="A416" t="s">
        <v>438</v>
      </c>
      <c r="B416" s="6">
        <v>45985.917002314804</v>
      </c>
      <c r="C416" s="7" t="s">
        <v>19</v>
      </c>
      <c r="D416" s="8">
        <f t="shared" si="12"/>
        <v>44</v>
      </c>
      <c r="E416" s="8">
        <v>44</v>
      </c>
      <c r="F416" s="8"/>
      <c r="G416" s="8">
        <v>33.159999999999997</v>
      </c>
      <c r="H416" s="8">
        <f t="shared" si="13"/>
        <v>116060</v>
      </c>
      <c r="I416" s="8">
        <v>10000</v>
      </c>
      <c r="J416" t="s">
        <v>261</v>
      </c>
      <c r="K416" s="12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</row>
    <row r="417" spans="1:18">
      <c r="A417" t="s">
        <v>439</v>
      </c>
      <c r="B417" s="6">
        <v>46054.4738657407</v>
      </c>
      <c r="C417" s="7" t="s">
        <v>19</v>
      </c>
      <c r="D417" s="8">
        <f t="shared" si="12"/>
        <v>24</v>
      </c>
      <c r="E417" s="8">
        <v>24</v>
      </c>
      <c r="F417" s="8"/>
      <c r="G417" s="8">
        <v>30.39</v>
      </c>
      <c r="H417" s="8">
        <f t="shared" si="13"/>
        <v>106365</v>
      </c>
      <c r="I417" s="8">
        <v>10000</v>
      </c>
      <c r="J417" t="s">
        <v>261</v>
      </c>
      <c r="K417" s="12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</row>
    <row r="418" spans="1:18">
      <c r="A418" t="s">
        <v>440</v>
      </c>
      <c r="B418" s="6">
        <v>46009.809328703697</v>
      </c>
      <c r="C418" s="7" t="s">
        <v>19</v>
      </c>
      <c r="D418" s="8">
        <f t="shared" si="12"/>
        <v>21</v>
      </c>
      <c r="E418" s="8">
        <v>21</v>
      </c>
      <c r="F418" s="8"/>
      <c r="G418" s="8">
        <v>29.73</v>
      </c>
      <c r="H418" s="8">
        <f t="shared" si="13"/>
        <v>104055</v>
      </c>
      <c r="I418" s="8">
        <v>10000</v>
      </c>
      <c r="J418" t="s">
        <v>261</v>
      </c>
      <c r="K418" s="12">
        <v>1</v>
      </c>
      <c r="L418" s="11">
        <v>2.58</v>
      </c>
      <c r="M418" s="11">
        <v>4.95</v>
      </c>
      <c r="N418" s="11">
        <v>2.46</v>
      </c>
      <c r="O418" s="11">
        <v>0</v>
      </c>
      <c r="P418" s="11">
        <v>4.95</v>
      </c>
      <c r="Q418" s="11">
        <v>0</v>
      </c>
      <c r="R418" s="11">
        <v>2.46</v>
      </c>
    </row>
    <row r="419" spans="1:18">
      <c r="A419" t="s">
        <v>441</v>
      </c>
      <c r="B419" s="6">
        <v>46042.450891203698</v>
      </c>
      <c r="C419" s="7" t="s">
        <v>19</v>
      </c>
      <c r="D419" s="8">
        <f t="shared" si="12"/>
        <v>65</v>
      </c>
      <c r="E419" s="8">
        <v>65</v>
      </c>
      <c r="F419" s="8"/>
      <c r="G419" s="8">
        <v>29.43</v>
      </c>
      <c r="H419" s="8">
        <f t="shared" si="13"/>
        <v>103005</v>
      </c>
      <c r="I419" s="8">
        <v>10000</v>
      </c>
      <c r="J419" t="s">
        <v>261</v>
      </c>
      <c r="K419" s="12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</row>
    <row r="420" spans="1:18">
      <c r="A420" t="s">
        <v>442</v>
      </c>
      <c r="B420" s="6">
        <v>46021.730439814797</v>
      </c>
      <c r="C420" s="7" t="s">
        <v>19</v>
      </c>
      <c r="D420" s="8">
        <f t="shared" si="12"/>
        <v>24</v>
      </c>
      <c r="E420" s="8">
        <v>24</v>
      </c>
      <c r="F420" s="8"/>
      <c r="G420" s="8">
        <v>29.25</v>
      </c>
      <c r="H420" s="8">
        <f t="shared" si="13"/>
        <v>102375</v>
      </c>
      <c r="I420" s="8">
        <v>10000</v>
      </c>
      <c r="J420" t="s">
        <v>261</v>
      </c>
      <c r="K420" s="12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</row>
    <row r="421" spans="1:18">
      <c r="A421" t="s">
        <v>443</v>
      </c>
      <c r="B421" s="6">
        <v>45953.366238425901</v>
      </c>
      <c r="C421" s="7" t="s">
        <v>19</v>
      </c>
      <c r="D421" s="8">
        <f t="shared" si="12"/>
        <v>28</v>
      </c>
      <c r="E421" s="8">
        <v>28</v>
      </c>
      <c r="F421" s="8"/>
      <c r="G421" s="8">
        <v>28.35</v>
      </c>
      <c r="H421" s="8">
        <f t="shared" si="13"/>
        <v>99225</v>
      </c>
      <c r="I421" s="8">
        <v>10000</v>
      </c>
      <c r="J421" t="s">
        <v>261</v>
      </c>
      <c r="K421" s="12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</row>
    <row r="422" spans="1:18">
      <c r="A422" t="s">
        <v>444</v>
      </c>
      <c r="B422" s="6">
        <v>45967.836273148103</v>
      </c>
      <c r="C422" s="7" t="s">
        <v>19</v>
      </c>
      <c r="D422" s="8">
        <f t="shared" si="12"/>
        <v>50</v>
      </c>
      <c r="E422" s="8">
        <v>50</v>
      </c>
      <c r="F422" s="8"/>
      <c r="G422" s="8">
        <v>28.3</v>
      </c>
      <c r="H422" s="8">
        <f t="shared" si="13"/>
        <v>99050</v>
      </c>
      <c r="I422" s="8">
        <v>10000</v>
      </c>
      <c r="J422" t="s">
        <v>261</v>
      </c>
      <c r="K422" s="12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</row>
    <row r="423" spans="1:18">
      <c r="A423" t="s">
        <v>445</v>
      </c>
      <c r="B423" s="6">
        <v>46026.436874999999</v>
      </c>
      <c r="C423" s="7" t="s">
        <v>19</v>
      </c>
      <c r="D423" s="8">
        <f t="shared" si="12"/>
        <v>29</v>
      </c>
      <c r="E423" s="8">
        <v>29</v>
      </c>
      <c r="F423" s="8"/>
      <c r="G423" s="8">
        <v>27.47</v>
      </c>
      <c r="H423" s="8">
        <f t="shared" si="13"/>
        <v>96145</v>
      </c>
      <c r="I423" s="8">
        <v>10000</v>
      </c>
      <c r="J423" t="s">
        <v>261</v>
      </c>
      <c r="K423" s="12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</row>
    <row r="424" spans="1:18">
      <c r="A424" t="s">
        <v>446</v>
      </c>
      <c r="B424" s="6">
        <v>46059.552233796298</v>
      </c>
      <c r="C424" s="7" t="s">
        <v>19</v>
      </c>
      <c r="D424" s="8">
        <f t="shared" si="12"/>
        <v>28</v>
      </c>
      <c r="E424" s="8">
        <v>28</v>
      </c>
      <c r="F424" s="8"/>
      <c r="G424" s="8">
        <v>26.93</v>
      </c>
      <c r="H424" s="8">
        <f t="shared" si="13"/>
        <v>94255</v>
      </c>
      <c r="I424" s="8">
        <v>10000</v>
      </c>
      <c r="J424" t="s">
        <v>261</v>
      </c>
      <c r="K424" s="12">
        <v>0</v>
      </c>
      <c r="L424" s="11">
        <v>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</row>
    <row r="425" spans="1:18">
      <c r="A425" t="s">
        <v>447</v>
      </c>
      <c r="B425" s="6">
        <v>46061.7419212963</v>
      </c>
      <c r="C425" s="7" t="s">
        <v>19</v>
      </c>
      <c r="D425" s="8">
        <f t="shared" si="12"/>
        <v>33</v>
      </c>
      <c r="E425" s="8">
        <v>33</v>
      </c>
      <c r="F425" s="8"/>
      <c r="G425" s="8">
        <v>26.03</v>
      </c>
      <c r="H425" s="8">
        <f t="shared" si="13"/>
        <v>91105</v>
      </c>
      <c r="I425" s="8">
        <v>10000</v>
      </c>
      <c r="J425" t="s">
        <v>261</v>
      </c>
      <c r="K425" s="12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0</v>
      </c>
      <c r="Q425" s="11">
        <v>0</v>
      </c>
      <c r="R425" s="11">
        <v>0</v>
      </c>
    </row>
    <row r="426" spans="1:18">
      <c r="A426" t="s">
        <v>448</v>
      </c>
      <c r="B426" s="6">
        <v>46062.555081018501</v>
      </c>
      <c r="C426" s="7" t="s">
        <v>19</v>
      </c>
      <c r="D426" s="8">
        <f t="shared" si="12"/>
        <v>31</v>
      </c>
      <c r="E426" s="8">
        <v>31</v>
      </c>
      <c r="F426" s="8"/>
      <c r="G426" s="8">
        <v>26.03</v>
      </c>
      <c r="H426" s="8">
        <f t="shared" si="13"/>
        <v>91105</v>
      </c>
      <c r="I426" s="8">
        <v>10000</v>
      </c>
      <c r="J426" t="s">
        <v>261</v>
      </c>
      <c r="K426" s="12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</row>
    <row r="427" spans="1:18">
      <c r="A427" t="s">
        <v>449</v>
      </c>
      <c r="B427" s="6">
        <v>46014.854849536998</v>
      </c>
      <c r="C427" s="7" t="s">
        <v>19</v>
      </c>
      <c r="D427" s="8">
        <f t="shared" si="12"/>
        <v>307</v>
      </c>
      <c r="E427" s="8">
        <v>307</v>
      </c>
      <c r="F427" s="8"/>
      <c r="G427" s="8">
        <v>25.77</v>
      </c>
      <c r="H427" s="8">
        <f t="shared" si="13"/>
        <v>90195</v>
      </c>
      <c r="I427" s="8">
        <v>10000</v>
      </c>
      <c r="J427" t="s">
        <v>261</v>
      </c>
      <c r="K427" s="12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</row>
    <row r="428" spans="1:18">
      <c r="A428" t="s">
        <v>450</v>
      </c>
      <c r="B428" s="6">
        <v>46043.359675925902</v>
      </c>
      <c r="C428" s="7" t="s">
        <v>19</v>
      </c>
      <c r="D428" s="8">
        <f t="shared" si="12"/>
        <v>39</v>
      </c>
      <c r="E428" s="8">
        <v>39</v>
      </c>
      <c r="F428" s="8"/>
      <c r="G428" s="8">
        <v>25</v>
      </c>
      <c r="H428" s="8">
        <f t="shared" si="13"/>
        <v>87500</v>
      </c>
      <c r="I428" s="8">
        <v>10000</v>
      </c>
      <c r="J428" t="s">
        <v>261</v>
      </c>
      <c r="K428" s="12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</row>
    <row r="429" spans="1:18">
      <c r="A429" t="s">
        <v>451</v>
      </c>
      <c r="B429" s="6">
        <v>45962.731527777803</v>
      </c>
      <c r="C429" s="7" t="s">
        <v>19</v>
      </c>
      <c r="D429" s="8">
        <f t="shared" si="12"/>
        <v>46</v>
      </c>
      <c r="E429" s="8">
        <v>46</v>
      </c>
      <c r="F429" s="8"/>
      <c r="G429" s="8">
        <v>23.71</v>
      </c>
      <c r="H429" s="8">
        <f t="shared" si="13"/>
        <v>82985</v>
      </c>
      <c r="I429" s="8">
        <v>10000</v>
      </c>
      <c r="J429" t="s">
        <v>261</v>
      </c>
      <c r="K429" s="12">
        <v>0</v>
      </c>
      <c r="L429" s="11">
        <v>0</v>
      </c>
      <c r="M429" s="11">
        <v>0</v>
      </c>
      <c r="N429" s="11">
        <v>0</v>
      </c>
      <c r="O429" s="11">
        <v>0</v>
      </c>
      <c r="P429" s="11">
        <v>0</v>
      </c>
      <c r="Q429" s="11">
        <v>0</v>
      </c>
      <c r="R429" s="11">
        <v>0</v>
      </c>
    </row>
    <row r="430" spans="1:18">
      <c r="A430" t="s">
        <v>452</v>
      </c>
      <c r="B430" s="6">
        <v>45968.406215277799</v>
      </c>
      <c r="C430" s="7" t="s">
        <v>19</v>
      </c>
      <c r="D430" s="8">
        <f t="shared" si="12"/>
        <v>175</v>
      </c>
      <c r="E430" s="8">
        <v>175</v>
      </c>
      <c r="F430" s="8"/>
      <c r="G430" s="8">
        <v>23.2</v>
      </c>
      <c r="H430" s="8">
        <f t="shared" si="13"/>
        <v>81200</v>
      </c>
      <c r="I430" s="8">
        <v>10000</v>
      </c>
      <c r="J430" t="s">
        <v>261</v>
      </c>
      <c r="K430" s="12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</row>
    <row r="431" spans="1:18">
      <c r="A431" t="s">
        <v>453</v>
      </c>
      <c r="B431" s="6">
        <v>45966.715300925898</v>
      </c>
      <c r="C431" s="7" t="s">
        <v>19</v>
      </c>
      <c r="D431" s="8">
        <f t="shared" si="12"/>
        <v>25</v>
      </c>
      <c r="E431" s="8">
        <v>25</v>
      </c>
      <c r="F431" s="8"/>
      <c r="G431" s="8">
        <v>23.07</v>
      </c>
      <c r="H431" s="8">
        <f t="shared" si="13"/>
        <v>80745</v>
      </c>
      <c r="I431" s="8">
        <v>10000</v>
      </c>
      <c r="J431" t="s">
        <v>261</v>
      </c>
      <c r="K431" s="12">
        <v>0</v>
      </c>
      <c r="L431" s="11">
        <v>0</v>
      </c>
      <c r="M431" s="11">
        <v>0</v>
      </c>
      <c r="N431" s="11">
        <v>0</v>
      </c>
      <c r="O431" s="11">
        <v>0</v>
      </c>
      <c r="P431" s="11">
        <v>0</v>
      </c>
      <c r="Q431" s="11">
        <v>0</v>
      </c>
      <c r="R431" s="11">
        <v>0</v>
      </c>
    </row>
    <row r="432" spans="1:18">
      <c r="A432" t="s">
        <v>454</v>
      </c>
      <c r="B432" s="6">
        <v>45993.197465277801</v>
      </c>
      <c r="C432" s="7" t="s">
        <v>19</v>
      </c>
      <c r="D432" s="8">
        <f t="shared" si="12"/>
        <v>37</v>
      </c>
      <c r="E432" s="8">
        <v>37</v>
      </c>
      <c r="F432" s="8"/>
      <c r="G432" s="8">
        <v>22.94</v>
      </c>
      <c r="H432" s="8">
        <f t="shared" si="13"/>
        <v>80290</v>
      </c>
      <c r="I432" s="8">
        <v>10000</v>
      </c>
      <c r="J432" t="s">
        <v>261</v>
      </c>
      <c r="K432" s="12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</row>
    <row r="433" spans="1:18">
      <c r="A433" t="s">
        <v>455</v>
      </c>
      <c r="B433" s="6">
        <v>46025.455694444398</v>
      </c>
      <c r="C433" s="7" t="s">
        <v>19</v>
      </c>
      <c r="D433" s="8">
        <f t="shared" si="12"/>
        <v>23</v>
      </c>
      <c r="E433" s="8">
        <v>23</v>
      </c>
      <c r="F433" s="8"/>
      <c r="G433" s="8">
        <v>21.34</v>
      </c>
      <c r="H433" s="8">
        <f t="shared" si="13"/>
        <v>74690</v>
      </c>
      <c r="I433" s="8">
        <v>10000</v>
      </c>
      <c r="J433" t="s">
        <v>261</v>
      </c>
      <c r="K433" s="12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</row>
    <row r="434" spans="1:18">
      <c r="A434" t="s">
        <v>456</v>
      </c>
      <c r="B434" s="6">
        <v>46053.582523148201</v>
      </c>
      <c r="C434" s="7" t="s">
        <v>19</v>
      </c>
      <c r="D434" s="8">
        <f t="shared" si="12"/>
        <v>28</v>
      </c>
      <c r="E434" s="8">
        <v>28</v>
      </c>
      <c r="F434" s="8"/>
      <c r="G434" s="8">
        <v>20.62</v>
      </c>
      <c r="H434" s="8">
        <f t="shared" si="13"/>
        <v>72170</v>
      </c>
      <c r="I434" s="8">
        <v>10000</v>
      </c>
      <c r="J434" t="s">
        <v>261</v>
      </c>
      <c r="K434" s="12">
        <v>0</v>
      </c>
      <c r="L434" s="11">
        <v>0</v>
      </c>
      <c r="M434" s="11">
        <v>0</v>
      </c>
      <c r="N434" s="11">
        <v>0</v>
      </c>
      <c r="O434" s="11">
        <v>0</v>
      </c>
      <c r="P434" s="11">
        <v>0</v>
      </c>
      <c r="Q434" s="11">
        <v>0</v>
      </c>
      <c r="R434" s="11">
        <v>0</v>
      </c>
    </row>
    <row r="435" spans="1:18">
      <c r="A435" t="s">
        <v>457</v>
      </c>
      <c r="B435" s="6">
        <v>46012.851793981499</v>
      </c>
      <c r="C435" s="7" t="s">
        <v>19</v>
      </c>
      <c r="D435" s="8">
        <f t="shared" si="12"/>
        <v>27</v>
      </c>
      <c r="E435" s="8">
        <v>27</v>
      </c>
      <c r="F435" s="8"/>
      <c r="G435" s="8">
        <v>19.02</v>
      </c>
      <c r="H435" s="8">
        <f t="shared" si="13"/>
        <v>66570</v>
      </c>
      <c r="I435" s="8">
        <v>10000</v>
      </c>
      <c r="J435" t="s">
        <v>261</v>
      </c>
      <c r="K435" s="12">
        <v>0</v>
      </c>
      <c r="L435" s="11">
        <v>0</v>
      </c>
      <c r="M435" s="11">
        <v>0</v>
      </c>
      <c r="N435" s="11">
        <v>0</v>
      </c>
      <c r="O435" s="11">
        <v>0</v>
      </c>
      <c r="P435" s="11">
        <v>0</v>
      </c>
      <c r="Q435" s="11">
        <v>0</v>
      </c>
      <c r="R435" s="11">
        <v>0</v>
      </c>
    </row>
    <row r="436" spans="1:18">
      <c r="A436" t="s">
        <v>458</v>
      </c>
      <c r="B436" s="6">
        <v>46031.275439814803</v>
      </c>
      <c r="C436" s="7" t="s">
        <v>19</v>
      </c>
      <c r="D436" s="8">
        <f t="shared" si="12"/>
        <v>22</v>
      </c>
      <c r="E436" s="8">
        <v>22</v>
      </c>
      <c r="F436" s="8"/>
      <c r="G436" s="8">
        <v>18.579999999999998</v>
      </c>
      <c r="H436" s="8">
        <f t="shared" si="13"/>
        <v>65030</v>
      </c>
      <c r="I436" s="8">
        <v>10000</v>
      </c>
      <c r="J436" t="s">
        <v>261</v>
      </c>
      <c r="K436" s="12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</row>
    <row r="437" spans="1:18">
      <c r="A437" t="s">
        <v>459</v>
      </c>
      <c r="B437" s="6">
        <v>46053.547002314801</v>
      </c>
      <c r="C437" s="7" t="s">
        <v>19</v>
      </c>
      <c r="D437" s="8">
        <f t="shared" si="12"/>
        <v>28</v>
      </c>
      <c r="E437" s="8">
        <v>28</v>
      </c>
      <c r="F437" s="8"/>
      <c r="G437" s="8">
        <v>18.38</v>
      </c>
      <c r="H437" s="8">
        <f t="shared" si="13"/>
        <v>64330</v>
      </c>
      <c r="I437" s="8">
        <v>10000</v>
      </c>
      <c r="J437" t="s">
        <v>261</v>
      </c>
      <c r="K437" s="12">
        <v>0</v>
      </c>
      <c r="L437" s="11">
        <v>0</v>
      </c>
      <c r="M437" s="11">
        <v>0</v>
      </c>
      <c r="N437" s="11">
        <v>0</v>
      </c>
      <c r="O437" s="11">
        <v>0</v>
      </c>
      <c r="P437" s="11">
        <v>0</v>
      </c>
      <c r="Q437" s="11">
        <v>0</v>
      </c>
      <c r="R437" s="11">
        <v>0</v>
      </c>
    </row>
    <row r="438" spans="1:18">
      <c r="A438" t="s">
        <v>460</v>
      </c>
      <c r="B438" s="6">
        <v>45952.6413425926</v>
      </c>
      <c r="C438" s="7" t="s">
        <v>19</v>
      </c>
      <c r="D438" s="8">
        <f t="shared" si="12"/>
        <v>60</v>
      </c>
      <c r="E438" s="8">
        <v>60</v>
      </c>
      <c r="F438" s="8"/>
      <c r="G438" s="8">
        <v>17.78</v>
      </c>
      <c r="H438" s="8">
        <f t="shared" si="13"/>
        <v>62230</v>
      </c>
      <c r="I438" s="8">
        <v>10000</v>
      </c>
      <c r="J438" t="s">
        <v>261</v>
      </c>
      <c r="K438" s="12">
        <v>0</v>
      </c>
      <c r="L438" s="11">
        <v>0</v>
      </c>
      <c r="M438" s="11">
        <v>0</v>
      </c>
      <c r="N438" s="11">
        <v>0</v>
      </c>
      <c r="O438" s="11">
        <v>0</v>
      </c>
      <c r="P438" s="11">
        <v>0</v>
      </c>
      <c r="Q438" s="11">
        <v>0</v>
      </c>
      <c r="R438" s="11">
        <v>0</v>
      </c>
    </row>
    <row r="439" spans="1:18">
      <c r="A439" t="s">
        <v>461</v>
      </c>
      <c r="B439" s="6">
        <v>46018.704930555599</v>
      </c>
      <c r="C439" s="7" t="s">
        <v>19</v>
      </c>
      <c r="D439" s="8">
        <f t="shared" si="12"/>
        <v>31</v>
      </c>
      <c r="E439" s="8">
        <v>31</v>
      </c>
      <c r="F439" s="8"/>
      <c r="G439" s="8">
        <v>17.78</v>
      </c>
      <c r="H439" s="8">
        <f t="shared" si="13"/>
        <v>62230</v>
      </c>
      <c r="I439" s="8">
        <v>10000</v>
      </c>
      <c r="J439" t="s">
        <v>261</v>
      </c>
      <c r="K439" s="12">
        <v>1</v>
      </c>
      <c r="L439" s="11">
        <v>2.58</v>
      </c>
      <c r="M439" s="11">
        <v>4.6900000000000004</v>
      </c>
      <c r="N439" s="11">
        <v>1.8</v>
      </c>
      <c r="O439" s="11">
        <v>3.04</v>
      </c>
      <c r="P439" s="11">
        <v>1.65</v>
      </c>
      <c r="Q439" s="11">
        <v>1.8</v>
      </c>
      <c r="R439" s="11">
        <v>0</v>
      </c>
    </row>
    <row r="440" spans="1:18">
      <c r="A440" t="s">
        <v>462</v>
      </c>
      <c r="B440" s="6">
        <v>46028.869016203702</v>
      </c>
      <c r="C440" s="7" t="s">
        <v>19</v>
      </c>
      <c r="D440" s="8">
        <f t="shared" si="12"/>
        <v>123</v>
      </c>
      <c r="E440" s="8">
        <v>123</v>
      </c>
      <c r="F440" s="8"/>
      <c r="G440" s="8">
        <v>17.53</v>
      </c>
      <c r="H440" s="8">
        <f t="shared" si="13"/>
        <v>61355</v>
      </c>
      <c r="I440" s="8">
        <v>10000</v>
      </c>
      <c r="J440" t="s">
        <v>261</v>
      </c>
      <c r="K440" s="12">
        <v>0</v>
      </c>
      <c r="L440" s="11">
        <v>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</row>
    <row r="441" spans="1:18">
      <c r="A441" t="s">
        <v>463</v>
      </c>
      <c r="B441" s="6">
        <v>45967.454895833303</v>
      </c>
      <c r="C441" s="7" t="s">
        <v>19</v>
      </c>
      <c r="D441" s="8">
        <f t="shared" si="12"/>
        <v>33</v>
      </c>
      <c r="E441" s="8">
        <v>33</v>
      </c>
      <c r="F441" s="8"/>
      <c r="G441" s="8">
        <v>16.93</v>
      </c>
      <c r="H441" s="8">
        <f t="shared" si="13"/>
        <v>59255</v>
      </c>
      <c r="I441" s="8">
        <v>10000</v>
      </c>
      <c r="J441" t="s">
        <v>261</v>
      </c>
      <c r="K441" s="12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</row>
    <row r="442" spans="1:18">
      <c r="A442" t="s">
        <v>464</v>
      </c>
      <c r="B442" s="6">
        <v>46031.182291666701</v>
      </c>
      <c r="C442" s="7" t="s">
        <v>19</v>
      </c>
      <c r="D442" s="8">
        <f t="shared" si="12"/>
        <v>23</v>
      </c>
      <c r="E442" s="8">
        <v>23</v>
      </c>
      <c r="F442" s="8"/>
      <c r="G442" s="8">
        <v>16</v>
      </c>
      <c r="H442" s="8">
        <f t="shared" si="13"/>
        <v>56000</v>
      </c>
      <c r="I442" s="8">
        <v>10000</v>
      </c>
      <c r="J442" t="s">
        <v>261</v>
      </c>
      <c r="K442" s="12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</row>
    <row r="443" spans="1:18">
      <c r="A443" t="s">
        <v>465</v>
      </c>
      <c r="B443" s="6">
        <v>45984.199664351901</v>
      </c>
      <c r="C443" s="7" t="s">
        <v>19</v>
      </c>
      <c r="D443" s="8">
        <f t="shared" si="12"/>
        <v>21</v>
      </c>
      <c r="E443" s="8">
        <v>21</v>
      </c>
      <c r="F443" s="8"/>
      <c r="G443" s="8">
        <v>15.98</v>
      </c>
      <c r="H443" s="8">
        <f t="shared" si="13"/>
        <v>55930</v>
      </c>
      <c r="I443" s="8">
        <v>10000</v>
      </c>
      <c r="J443" t="s">
        <v>261</v>
      </c>
      <c r="K443" s="12">
        <v>0</v>
      </c>
      <c r="L443" s="11">
        <v>0</v>
      </c>
      <c r="M443" s="11">
        <v>0</v>
      </c>
      <c r="N443" s="11">
        <v>0</v>
      </c>
      <c r="O443" s="11">
        <v>0</v>
      </c>
      <c r="P443" s="11">
        <v>0</v>
      </c>
      <c r="Q443" s="11">
        <v>0</v>
      </c>
      <c r="R443" s="11">
        <v>0</v>
      </c>
    </row>
    <row r="444" spans="1:18">
      <c r="A444" t="s">
        <v>466</v>
      </c>
      <c r="B444" s="6">
        <v>45932.8539930556</v>
      </c>
      <c r="C444" s="7" t="s">
        <v>19</v>
      </c>
      <c r="D444" s="8">
        <f t="shared" si="12"/>
        <v>24</v>
      </c>
      <c r="E444" s="8">
        <v>24</v>
      </c>
      <c r="F444" s="8"/>
      <c r="G444" s="8">
        <v>15.46</v>
      </c>
      <c r="H444" s="8">
        <f t="shared" si="13"/>
        <v>54110</v>
      </c>
      <c r="I444" s="8">
        <v>10000</v>
      </c>
      <c r="J444" t="s">
        <v>261</v>
      </c>
      <c r="K444" s="12">
        <v>0</v>
      </c>
      <c r="L444" s="11">
        <v>0</v>
      </c>
      <c r="M444" s="11">
        <v>0</v>
      </c>
      <c r="N444" s="11">
        <v>0</v>
      </c>
      <c r="O444" s="11">
        <v>0</v>
      </c>
      <c r="P444" s="11">
        <v>0</v>
      </c>
      <c r="Q444" s="11">
        <v>0</v>
      </c>
      <c r="R444" s="11">
        <v>0</v>
      </c>
    </row>
    <row r="445" spans="1:18">
      <c r="A445" t="s">
        <v>467</v>
      </c>
      <c r="B445" s="6">
        <v>45998.499571759297</v>
      </c>
      <c r="C445" s="7" t="s">
        <v>19</v>
      </c>
      <c r="D445" s="8">
        <f t="shared" si="12"/>
        <v>43</v>
      </c>
      <c r="E445" s="8">
        <v>43</v>
      </c>
      <c r="F445" s="8"/>
      <c r="G445" s="8">
        <v>13.63</v>
      </c>
      <c r="H445" s="8">
        <f t="shared" si="13"/>
        <v>47705</v>
      </c>
      <c r="I445" s="8">
        <v>10000</v>
      </c>
      <c r="J445" t="s">
        <v>261</v>
      </c>
      <c r="K445" s="12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</row>
    <row r="446" spans="1:18">
      <c r="A446" t="s">
        <v>468</v>
      </c>
      <c r="B446" s="6">
        <v>45985.862164351798</v>
      </c>
      <c r="C446" s="7" t="s">
        <v>19</v>
      </c>
      <c r="D446" s="8">
        <f t="shared" si="12"/>
        <v>27</v>
      </c>
      <c r="E446" s="8">
        <v>27</v>
      </c>
      <c r="F446" s="8"/>
      <c r="G446" s="8">
        <v>13.56</v>
      </c>
      <c r="H446" s="8">
        <f t="shared" si="13"/>
        <v>47460</v>
      </c>
      <c r="I446" s="8">
        <v>10000</v>
      </c>
      <c r="J446" t="s">
        <v>261</v>
      </c>
      <c r="K446" s="12">
        <v>0</v>
      </c>
      <c r="L446" s="11">
        <v>0</v>
      </c>
      <c r="M446" s="11">
        <v>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</row>
    <row r="447" spans="1:18">
      <c r="A447" t="s">
        <v>469</v>
      </c>
      <c r="B447" s="6">
        <v>46060.305729166699</v>
      </c>
      <c r="C447" s="7" t="s">
        <v>19</v>
      </c>
      <c r="D447" s="8">
        <f t="shared" si="12"/>
        <v>22</v>
      </c>
      <c r="E447" s="8">
        <v>22</v>
      </c>
      <c r="F447" s="8"/>
      <c r="G447" s="8">
        <v>11.35</v>
      </c>
      <c r="H447" s="8">
        <f t="shared" si="13"/>
        <v>39725</v>
      </c>
      <c r="I447" s="8">
        <v>10000</v>
      </c>
      <c r="J447" t="s">
        <v>261</v>
      </c>
      <c r="K447" s="12">
        <v>0</v>
      </c>
      <c r="L447" s="11">
        <v>0</v>
      </c>
      <c r="M447" s="11">
        <v>0</v>
      </c>
      <c r="N447" s="11">
        <v>0</v>
      </c>
      <c r="O447" s="11">
        <v>0</v>
      </c>
      <c r="P447" s="11">
        <v>0</v>
      </c>
      <c r="Q447" s="11">
        <v>0</v>
      </c>
      <c r="R447" s="11">
        <v>0</v>
      </c>
    </row>
    <row r="448" spans="1:18">
      <c r="A448" t="s">
        <v>470</v>
      </c>
      <c r="B448" s="6">
        <v>46055.841701388897</v>
      </c>
      <c r="C448" s="7" t="s">
        <v>19</v>
      </c>
      <c r="D448" s="8">
        <f t="shared" si="12"/>
        <v>220</v>
      </c>
      <c r="E448" s="8">
        <v>120</v>
      </c>
      <c r="F448" s="8">
        <v>100</v>
      </c>
      <c r="G448" s="8">
        <v>10.31</v>
      </c>
      <c r="H448" s="8">
        <f t="shared" si="13"/>
        <v>36085</v>
      </c>
      <c r="I448" s="8">
        <v>10000</v>
      </c>
      <c r="J448" t="s">
        <v>261</v>
      </c>
      <c r="K448" s="12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</row>
    <row r="449" spans="1:18">
      <c r="A449" t="s">
        <v>471</v>
      </c>
      <c r="B449" s="6">
        <v>45953.8151967593</v>
      </c>
      <c r="C449" s="7" t="s">
        <v>19</v>
      </c>
      <c r="D449" s="8">
        <f t="shared" si="12"/>
        <v>245</v>
      </c>
      <c r="E449" s="8">
        <v>245</v>
      </c>
      <c r="F449" s="8"/>
      <c r="G449" s="8">
        <v>9.7899999999999991</v>
      </c>
      <c r="H449" s="8">
        <f t="shared" si="13"/>
        <v>34265</v>
      </c>
      <c r="I449" s="8">
        <v>10000</v>
      </c>
      <c r="J449" t="s">
        <v>261</v>
      </c>
      <c r="K449" s="12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0</v>
      </c>
      <c r="Q449" s="11">
        <v>0</v>
      </c>
      <c r="R449" s="11">
        <v>0</v>
      </c>
    </row>
    <row r="450" spans="1:18">
      <c r="A450" t="s">
        <v>472</v>
      </c>
      <c r="B450" s="6">
        <v>46046.798680555599</v>
      </c>
      <c r="C450" s="7" t="s">
        <v>19</v>
      </c>
      <c r="D450" s="8">
        <f t="shared" ref="D450:D467" si="14">E450+F450</f>
        <v>24</v>
      </c>
      <c r="E450" s="8">
        <v>24</v>
      </c>
      <c r="F450" s="8"/>
      <c r="G450" s="8">
        <v>6.08</v>
      </c>
      <c r="H450" s="8">
        <f t="shared" ref="H450:H467" si="15">G450*3500</f>
        <v>21280</v>
      </c>
      <c r="I450" s="8">
        <v>10000</v>
      </c>
      <c r="J450" t="s">
        <v>261</v>
      </c>
      <c r="K450" s="12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0</v>
      </c>
      <c r="Q450" s="11">
        <v>0</v>
      </c>
      <c r="R450" s="11">
        <v>0</v>
      </c>
    </row>
    <row r="451" spans="1:18">
      <c r="A451" t="s">
        <v>473</v>
      </c>
      <c r="B451" s="6">
        <v>45984.7010532407</v>
      </c>
      <c r="C451" s="7" t="s">
        <v>19</v>
      </c>
      <c r="D451" s="8">
        <f t="shared" si="14"/>
        <v>35</v>
      </c>
      <c r="E451" s="8">
        <v>35</v>
      </c>
      <c r="F451" s="8"/>
      <c r="G451" s="8">
        <v>5.93</v>
      </c>
      <c r="H451" s="8">
        <f t="shared" si="15"/>
        <v>20755</v>
      </c>
      <c r="I451" s="8">
        <v>10000</v>
      </c>
      <c r="J451" t="s">
        <v>261</v>
      </c>
      <c r="K451" s="12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0</v>
      </c>
      <c r="Q451" s="11">
        <v>0</v>
      </c>
      <c r="R451" s="11">
        <v>0</v>
      </c>
    </row>
    <row r="452" spans="1:18">
      <c r="A452" t="s">
        <v>474</v>
      </c>
      <c r="B452" s="6">
        <v>46011.743182870399</v>
      </c>
      <c r="C452" s="7" t="s">
        <v>19</v>
      </c>
      <c r="D452" s="8">
        <f t="shared" si="14"/>
        <v>57</v>
      </c>
      <c r="E452" s="8">
        <v>57</v>
      </c>
      <c r="F452" s="8"/>
      <c r="G452" s="8">
        <v>5.67</v>
      </c>
      <c r="H452" s="8">
        <f t="shared" si="15"/>
        <v>19845</v>
      </c>
      <c r="I452" s="8">
        <v>10000</v>
      </c>
      <c r="J452" t="s">
        <v>261</v>
      </c>
      <c r="K452" s="12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0</v>
      </c>
      <c r="Q452" s="11">
        <v>0</v>
      </c>
      <c r="R452" s="11">
        <v>0</v>
      </c>
    </row>
    <row r="453" spans="1:18">
      <c r="A453" t="s">
        <v>475</v>
      </c>
      <c r="B453" s="6">
        <v>46061.290335648097</v>
      </c>
      <c r="C453" s="7" t="s">
        <v>19</v>
      </c>
      <c r="D453" s="8">
        <f t="shared" si="14"/>
        <v>204</v>
      </c>
      <c r="E453" s="8">
        <v>104</v>
      </c>
      <c r="F453" s="8">
        <v>100</v>
      </c>
      <c r="G453" s="8">
        <v>5.41</v>
      </c>
      <c r="H453" s="8">
        <f t="shared" si="15"/>
        <v>18935</v>
      </c>
      <c r="I453" s="8">
        <v>10000</v>
      </c>
      <c r="J453" t="s">
        <v>261</v>
      </c>
      <c r="K453" s="12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</row>
    <row r="454" spans="1:18">
      <c r="A454" t="s">
        <v>476</v>
      </c>
      <c r="B454" s="6">
        <v>46068.855694444399</v>
      </c>
      <c r="C454" s="7" t="s">
        <v>19</v>
      </c>
      <c r="D454" s="8">
        <f t="shared" si="14"/>
        <v>23</v>
      </c>
      <c r="E454" s="8">
        <v>23</v>
      </c>
      <c r="F454" s="8"/>
      <c r="G454" s="8">
        <v>5.15</v>
      </c>
      <c r="H454" s="8">
        <f t="shared" si="15"/>
        <v>18025</v>
      </c>
      <c r="I454" s="8">
        <v>10000</v>
      </c>
      <c r="J454" t="s">
        <v>261</v>
      </c>
      <c r="K454" s="12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</row>
    <row r="455" spans="1:18">
      <c r="A455" t="s">
        <v>477</v>
      </c>
      <c r="B455" s="6">
        <v>46055.808773148201</v>
      </c>
      <c r="C455" s="7" t="s">
        <v>19</v>
      </c>
      <c r="D455" s="8">
        <f t="shared" si="14"/>
        <v>200</v>
      </c>
      <c r="E455" s="8">
        <v>100</v>
      </c>
      <c r="F455" s="8">
        <v>100</v>
      </c>
      <c r="G455" s="8">
        <v>5.03</v>
      </c>
      <c r="H455" s="8">
        <f t="shared" si="15"/>
        <v>17605</v>
      </c>
      <c r="I455" s="8">
        <v>10000</v>
      </c>
      <c r="J455" t="s">
        <v>261</v>
      </c>
      <c r="K455" s="12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0</v>
      </c>
      <c r="Q455" s="11">
        <v>0</v>
      </c>
      <c r="R455" s="11">
        <v>0</v>
      </c>
    </row>
    <row r="456" spans="1:18">
      <c r="A456" t="s">
        <v>478</v>
      </c>
      <c r="B456" s="6">
        <v>46041.4830671296</v>
      </c>
      <c r="C456" s="7" t="s">
        <v>19</v>
      </c>
      <c r="D456" s="8">
        <f t="shared" si="14"/>
        <v>24</v>
      </c>
      <c r="E456" s="8">
        <v>24</v>
      </c>
      <c r="F456" s="8"/>
      <c r="G456" s="8">
        <v>4.6399999999999997</v>
      </c>
      <c r="H456" s="8">
        <f t="shared" si="15"/>
        <v>16240</v>
      </c>
      <c r="I456" s="8">
        <v>10000</v>
      </c>
      <c r="J456" t="s">
        <v>261</v>
      </c>
      <c r="K456" s="12">
        <v>1</v>
      </c>
      <c r="L456" s="11">
        <v>1.55</v>
      </c>
      <c r="M456" s="11">
        <v>8.2799999999999994</v>
      </c>
      <c r="N456" s="11">
        <v>1.43</v>
      </c>
      <c r="O456" s="11">
        <v>8.2799999999999994</v>
      </c>
      <c r="P456" s="11">
        <v>0</v>
      </c>
      <c r="Q456" s="11">
        <v>1.43</v>
      </c>
      <c r="R456" s="11">
        <v>0</v>
      </c>
    </row>
    <row r="457" spans="1:18">
      <c r="A457" t="s">
        <v>479</v>
      </c>
      <c r="B457" s="6">
        <v>46055.838344907403</v>
      </c>
      <c r="C457" s="7" t="s">
        <v>19</v>
      </c>
      <c r="D457" s="8">
        <f t="shared" si="14"/>
        <v>213</v>
      </c>
      <c r="E457" s="8">
        <v>113</v>
      </c>
      <c r="F457" s="8">
        <v>100</v>
      </c>
      <c r="G457" s="8">
        <v>3.87</v>
      </c>
      <c r="H457" s="8">
        <f t="shared" si="15"/>
        <v>13545</v>
      </c>
      <c r="I457" s="8">
        <v>10000</v>
      </c>
      <c r="J457" t="s">
        <v>261</v>
      </c>
      <c r="K457" s="12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</row>
    <row r="458" spans="1:18">
      <c r="A458" t="s">
        <v>480</v>
      </c>
      <c r="B458" s="6">
        <v>45928.722326388903</v>
      </c>
      <c r="C458" s="7" t="s">
        <v>19</v>
      </c>
      <c r="D458" s="8">
        <f t="shared" si="14"/>
        <v>26</v>
      </c>
      <c r="E458" s="8">
        <v>26</v>
      </c>
      <c r="F458" s="8"/>
      <c r="G458" s="8">
        <v>3.09</v>
      </c>
      <c r="H458" s="8">
        <f t="shared" si="15"/>
        <v>10815</v>
      </c>
      <c r="I458" s="8">
        <v>10000</v>
      </c>
      <c r="J458" t="s">
        <v>261</v>
      </c>
      <c r="K458" s="12">
        <v>0</v>
      </c>
      <c r="L458" s="11">
        <v>0</v>
      </c>
      <c r="M458" s="11">
        <v>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</row>
    <row r="459" spans="1:18">
      <c r="A459" t="s">
        <v>481</v>
      </c>
      <c r="B459" s="6">
        <v>46055.839641203696</v>
      </c>
      <c r="C459" s="7" t="s">
        <v>19</v>
      </c>
      <c r="D459" s="8">
        <f t="shared" si="14"/>
        <v>210</v>
      </c>
      <c r="E459" s="8">
        <v>108</v>
      </c>
      <c r="F459" s="8">
        <v>102</v>
      </c>
      <c r="G459" s="8">
        <v>3.03</v>
      </c>
      <c r="H459" s="8">
        <f t="shared" si="15"/>
        <v>10605</v>
      </c>
      <c r="I459" s="8">
        <v>10000</v>
      </c>
      <c r="J459" t="s">
        <v>261</v>
      </c>
      <c r="K459" s="12">
        <v>0</v>
      </c>
      <c r="L459" s="11">
        <v>0</v>
      </c>
      <c r="M459" s="11">
        <v>0</v>
      </c>
      <c r="N459" s="11">
        <v>0</v>
      </c>
      <c r="O459" s="11">
        <v>0</v>
      </c>
      <c r="P459" s="11">
        <v>0</v>
      </c>
      <c r="Q459" s="11">
        <v>0</v>
      </c>
      <c r="R459" s="11">
        <v>0</v>
      </c>
    </row>
    <row r="460" spans="1:18">
      <c r="A460" t="s">
        <v>482</v>
      </c>
      <c r="B460" s="6">
        <v>46044.772951388899</v>
      </c>
      <c r="C460" s="7" t="s">
        <v>19</v>
      </c>
      <c r="D460" s="8">
        <f t="shared" si="14"/>
        <v>34</v>
      </c>
      <c r="E460" s="8">
        <v>34</v>
      </c>
      <c r="F460" s="8"/>
      <c r="G460" s="8">
        <v>2.99</v>
      </c>
      <c r="H460" s="8">
        <f t="shared" si="15"/>
        <v>10465</v>
      </c>
      <c r="I460" s="8">
        <v>10000</v>
      </c>
      <c r="J460" t="s">
        <v>261</v>
      </c>
      <c r="K460" s="12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</row>
    <row r="461" spans="1:18">
      <c r="A461" t="s">
        <v>483</v>
      </c>
      <c r="B461" s="6">
        <v>45980.378622685203</v>
      </c>
      <c r="C461" s="7" t="s">
        <v>19</v>
      </c>
      <c r="D461" s="8">
        <f t="shared" si="14"/>
        <v>46</v>
      </c>
      <c r="E461" s="8">
        <v>46</v>
      </c>
      <c r="F461" s="8"/>
      <c r="G461" s="8">
        <v>2.58</v>
      </c>
      <c r="H461" s="8">
        <f t="shared" si="15"/>
        <v>9030</v>
      </c>
      <c r="I461" s="8">
        <v>10000</v>
      </c>
      <c r="J461" t="s">
        <v>261</v>
      </c>
      <c r="K461" s="12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0</v>
      </c>
    </row>
    <row r="462" spans="1:18">
      <c r="A462" t="s">
        <v>484</v>
      </c>
      <c r="B462" s="6">
        <v>46056.2434953704</v>
      </c>
      <c r="C462" s="7" t="s">
        <v>19</v>
      </c>
      <c r="D462" s="8">
        <f t="shared" si="14"/>
        <v>26</v>
      </c>
      <c r="E462" s="8">
        <v>26</v>
      </c>
      <c r="F462" s="8"/>
      <c r="G462" s="8">
        <v>2.58</v>
      </c>
      <c r="H462" s="8">
        <f t="shared" si="15"/>
        <v>9030</v>
      </c>
      <c r="I462" s="8">
        <v>10000</v>
      </c>
      <c r="J462" t="s">
        <v>261</v>
      </c>
      <c r="K462" s="12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</row>
    <row r="463" spans="1:18">
      <c r="A463" t="s">
        <v>485</v>
      </c>
      <c r="B463" s="6">
        <v>46052.410925925898</v>
      </c>
      <c r="C463" s="7" t="s">
        <v>19</v>
      </c>
      <c r="D463" s="8">
        <f t="shared" si="14"/>
        <v>203</v>
      </c>
      <c r="E463" s="8">
        <v>102</v>
      </c>
      <c r="F463" s="8">
        <v>101</v>
      </c>
      <c r="G463" s="8">
        <v>2.27</v>
      </c>
      <c r="H463" s="8">
        <f t="shared" si="15"/>
        <v>7945</v>
      </c>
      <c r="I463" s="8">
        <v>10000</v>
      </c>
      <c r="J463" t="s">
        <v>261</v>
      </c>
      <c r="K463" s="12">
        <v>0</v>
      </c>
      <c r="L463" s="11">
        <v>0</v>
      </c>
      <c r="M463" s="11">
        <v>0</v>
      </c>
      <c r="N463" s="11">
        <v>0</v>
      </c>
      <c r="O463" s="11">
        <v>0</v>
      </c>
      <c r="P463" s="11">
        <v>0</v>
      </c>
      <c r="Q463" s="11">
        <v>0</v>
      </c>
      <c r="R463" s="11">
        <v>0</v>
      </c>
    </row>
    <row r="464" spans="1:18">
      <c r="A464" t="s">
        <v>486</v>
      </c>
      <c r="B464" s="6">
        <v>46024.763159722199</v>
      </c>
      <c r="C464" s="7" t="s">
        <v>19</v>
      </c>
      <c r="D464" s="8">
        <f t="shared" si="14"/>
        <v>210</v>
      </c>
      <c r="E464" s="8">
        <v>109</v>
      </c>
      <c r="F464" s="8">
        <v>101</v>
      </c>
      <c r="G464" s="8">
        <v>2.13</v>
      </c>
      <c r="H464" s="8">
        <f t="shared" si="15"/>
        <v>7455</v>
      </c>
      <c r="I464" s="8">
        <v>10000</v>
      </c>
      <c r="J464" t="s">
        <v>261</v>
      </c>
      <c r="K464" s="12">
        <v>0</v>
      </c>
      <c r="L464" s="11">
        <v>0</v>
      </c>
      <c r="M464" s="11">
        <v>0</v>
      </c>
      <c r="N464" s="11">
        <v>0</v>
      </c>
      <c r="O464" s="11">
        <v>0</v>
      </c>
      <c r="P464" s="11">
        <v>0</v>
      </c>
      <c r="Q464" s="11">
        <v>0</v>
      </c>
      <c r="R464" s="11">
        <v>0</v>
      </c>
    </row>
    <row r="465" spans="1:18">
      <c r="A465" t="s">
        <v>487</v>
      </c>
      <c r="B465" s="6">
        <v>46008.583611111098</v>
      </c>
      <c r="C465" s="7" t="s">
        <v>19</v>
      </c>
      <c r="D465" s="8">
        <f t="shared" si="14"/>
        <v>21</v>
      </c>
      <c r="E465" s="8">
        <v>21</v>
      </c>
      <c r="F465" s="8"/>
      <c r="G465" s="8">
        <v>1.68</v>
      </c>
      <c r="H465" s="8">
        <f t="shared" si="15"/>
        <v>5880</v>
      </c>
      <c r="I465" s="8">
        <v>10000</v>
      </c>
      <c r="J465" t="s">
        <v>261</v>
      </c>
      <c r="K465" s="12">
        <v>0</v>
      </c>
      <c r="L465" s="11">
        <v>0</v>
      </c>
      <c r="M465" s="11">
        <v>0</v>
      </c>
      <c r="N465" s="11">
        <v>0</v>
      </c>
      <c r="O465" s="11">
        <v>0</v>
      </c>
      <c r="P465" s="11">
        <v>0</v>
      </c>
      <c r="Q465" s="11">
        <v>0</v>
      </c>
      <c r="R465" s="11">
        <v>0</v>
      </c>
    </row>
    <row r="466" spans="1:18">
      <c r="A466" t="s">
        <v>488</v>
      </c>
      <c r="B466" s="6">
        <v>46055.840798611098</v>
      </c>
      <c r="C466" s="7" t="s">
        <v>19</v>
      </c>
      <c r="D466" s="8">
        <f t="shared" si="14"/>
        <v>210</v>
      </c>
      <c r="E466" s="8">
        <v>108</v>
      </c>
      <c r="F466" s="8">
        <v>102</v>
      </c>
      <c r="G466" s="8">
        <v>1.24</v>
      </c>
      <c r="H466" s="8">
        <f t="shared" si="15"/>
        <v>4340</v>
      </c>
      <c r="I466" s="8">
        <v>10000</v>
      </c>
      <c r="J466" t="s">
        <v>261</v>
      </c>
      <c r="K466" s="12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</row>
    <row r="467" spans="1:18">
      <c r="A467" t="s">
        <v>489</v>
      </c>
      <c r="B467" s="6">
        <v>46007.430069444403</v>
      </c>
      <c r="C467" s="7" t="s">
        <v>19</v>
      </c>
      <c r="D467" s="8">
        <f t="shared" si="14"/>
        <v>218</v>
      </c>
      <c r="E467" s="8">
        <v>114</v>
      </c>
      <c r="F467" s="8">
        <v>104</v>
      </c>
      <c r="G467" s="8">
        <v>0.64</v>
      </c>
      <c r="H467" s="8">
        <f t="shared" si="15"/>
        <v>2240</v>
      </c>
      <c r="I467" s="8">
        <v>10000</v>
      </c>
      <c r="J467" t="s">
        <v>261</v>
      </c>
      <c r="K467" s="12">
        <v>0</v>
      </c>
      <c r="L467" s="16">
        <v>0</v>
      </c>
      <c r="M467" s="16">
        <v>0</v>
      </c>
      <c r="N467" s="16">
        <v>0</v>
      </c>
      <c r="O467" s="16">
        <v>0</v>
      </c>
      <c r="P467" s="16">
        <v>0</v>
      </c>
      <c r="Q467" s="16">
        <v>0</v>
      </c>
      <c r="R467" s="16">
        <v>0</v>
      </c>
    </row>
  </sheetData>
  <autoFilter ref="A1:R467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0"/>
  <sheetViews>
    <sheetView tabSelected="1" workbookViewId="0">
      <selection activeCell="N7" sqref="N7"/>
    </sheetView>
  </sheetViews>
  <sheetFormatPr baseColWidth="10" defaultColWidth="9" defaultRowHeight="15"/>
  <cols>
    <col min="1" max="2" width="14.1640625" customWidth="1"/>
    <col min="3" max="3" width="14.83203125" customWidth="1"/>
    <col min="5" max="5" width="14.1640625" customWidth="1"/>
    <col min="6" max="7" width="10.1640625" customWidth="1"/>
    <col min="8" max="9" width="17.5" customWidth="1"/>
    <col min="10" max="10" width="14.6640625" style="1" customWidth="1"/>
    <col min="11" max="11" width="14.6640625" style="2" customWidth="1"/>
    <col min="12" max="12" width="13" customWidth="1"/>
    <col min="13" max="13" width="19.33203125" customWidth="1"/>
    <col min="14" max="14" width="22.5" customWidth="1"/>
    <col min="15" max="15" width="22.1640625" customWidth="1"/>
    <col min="16" max="16" width="15.1640625" customWidth="1"/>
    <col min="17" max="17" width="15.33203125" customWidth="1"/>
  </cols>
  <sheetData>
    <row r="1" spans="1:18" ht="36">
      <c r="A1" s="3" t="s">
        <v>0</v>
      </c>
      <c r="B1" s="3" t="s">
        <v>490</v>
      </c>
      <c r="C1" s="17" t="s">
        <v>762</v>
      </c>
      <c r="D1" s="17" t="s">
        <v>763</v>
      </c>
      <c r="E1" s="17" t="s">
        <v>764</v>
      </c>
      <c r="F1" s="17" t="s">
        <v>765</v>
      </c>
      <c r="G1" s="17" t="s">
        <v>766</v>
      </c>
      <c r="H1" s="18" t="s">
        <v>767</v>
      </c>
      <c r="I1" s="18" t="s">
        <v>768</v>
      </c>
      <c r="J1" s="4" t="s">
        <v>491</v>
      </c>
      <c r="K1" s="19" t="s">
        <v>775</v>
      </c>
      <c r="L1" s="5" t="s">
        <v>776</v>
      </c>
      <c r="M1" s="5" t="s">
        <v>774</v>
      </c>
      <c r="N1" s="5" t="s">
        <v>769</v>
      </c>
      <c r="O1" s="5" t="s">
        <v>773</v>
      </c>
      <c r="P1" s="5" t="s">
        <v>770</v>
      </c>
      <c r="Q1" s="5" t="s">
        <v>771</v>
      </c>
      <c r="R1" s="5" t="s">
        <v>772</v>
      </c>
    </row>
    <row r="2" spans="1:18">
      <c r="A2" t="s">
        <v>492</v>
      </c>
      <c r="B2">
        <v>17137609</v>
      </c>
      <c r="C2" s="6">
        <v>46057.483020833301</v>
      </c>
      <c r="D2" s="7" t="s">
        <v>493</v>
      </c>
      <c r="E2" s="8">
        <v>7547</v>
      </c>
      <c r="F2" s="8"/>
      <c r="G2" s="8">
        <v>7547</v>
      </c>
      <c r="H2" s="8">
        <v>8198.48</v>
      </c>
      <c r="I2" s="8">
        <v>28694680</v>
      </c>
      <c r="J2" s="9">
        <v>150000</v>
      </c>
      <c r="K2" s="10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</row>
    <row r="3" spans="1:18">
      <c r="A3" t="s">
        <v>494</v>
      </c>
      <c r="B3">
        <v>19856512</v>
      </c>
      <c r="C3" s="6">
        <v>46055.491956018501</v>
      </c>
      <c r="D3" s="7" t="s">
        <v>493</v>
      </c>
      <c r="E3" s="8">
        <v>2355</v>
      </c>
      <c r="F3" s="8"/>
      <c r="G3" s="8">
        <v>2355</v>
      </c>
      <c r="H3" s="8">
        <v>7960.57</v>
      </c>
      <c r="I3" s="8">
        <v>27861995</v>
      </c>
      <c r="J3" s="9">
        <v>150000</v>
      </c>
      <c r="K3" s="10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</row>
    <row r="4" spans="1:18">
      <c r="A4" t="s">
        <v>495</v>
      </c>
      <c r="B4">
        <v>5204451</v>
      </c>
      <c r="C4" s="6">
        <v>46049.483229166697</v>
      </c>
      <c r="D4" s="7" t="s">
        <v>493</v>
      </c>
      <c r="E4" s="8">
        <v>4337</v>
      </c>
      <c r="F4" s="8"/>
      <c r="G4" s="8">
        <v>4337</v>
      </c>
      <c r="H4" s="8">
        <v>6539.92</v>
      </c>
      <c r="I4" s="8">
        <v>22889720</v>
      </c>
      <c r="J4" s="9">
        <v>150000</v>
      </c>
      <c r="K4" s="10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</row>
    <row r="5" spans="1:18">
      <c r="A5" t="s">
        <v>496</v>
      </c>
      <c r="B5">
        <v>20480567</v>
      </c>
      <c r="C5" s="6">
        <v>46050.795601851903</v>
      </c>
      <c r="D5" s="7" t="s">
        <v>493</v>
      </c>
      <c r="E5" s="8">
        <v>6045</v>
      </c>
      <c r="F5" s="8"/>
      <c r="G5" s="8">
        <v>6045</v>
      </c>
      <c r="H5" s="8">
        <v>6259.14</v>
      </c>
      <c r="I5" s="8">
        <v>21906990</v>
      </c>
      <c r="J5" s="9">
        <v>150000</v>
      </c>
      <c r="K5" s="10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</row>
    <row r="6" spans="1:18">
      <c r="A6" t="s">
        <v>497</v>
      </c>
      <c r="B6">
        <v>19526014</v>
      </c>
      <c r="C6" s="6">
        <v>46066.014976851897</v>
      </c>
      <c r="D6" s="7" t="s">
        <v>493</v>
      </c>
      <c r="E6" s="8">
        <v>1225</v>
      </c>
      <c r="F6" s="8"/>
      <c r="G6" s="8">
        <v>1225</v>
      </c>
      <c r="H6" s="8">
        <v>6240.21</v>
      </c>
      <c r="I6" s="8">
        <v>21840735</v>
      </c>
      <c r="J6" s="9">
        <v>150000</v>
      </c>
      <c r="K6" s="10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</row>
    <row r="7" spans="1:18">
      <c r="A7" t="s">
        <v>498</v>
      </c>
      <c r="B7">
        <v>13149419</v>
      </c>
      <c r="C7" s="6">
        <v>46055.4318055556</v>
      </c>
      <c r="D7" s="7" t="s">
        <v>493</v>
      </c>
      <c r="E7" s="8">
        <v>8603</v>
      </c>
      <c r="F7" s="8"/>
      <c r="G7" s="8">
        <v>8603</v>
      </c>
      <c r="H7" s="8">
        <v>5638.49</v>
      </c>
      <c r="I7" s="8">
        <v>19734715</v>
      </c>
      <c r="J7" s="9">
        <v>150000</v>
      </c>
      <c r="K7" s="10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</row>
    <row r="8" spans="1:18">
      <c r="A8" t="s">
        <v>499</v>
      </c>
      <c r="B8">
        <v>15957525</v>
      </c>
      <c r="C8" s="6">
        <v>46059.193923611099</v>
      </c>
      <c r="D8" s="7" t="s">
        <v>493</v>
      </c>
      <c r="E8" s="8">
        <v>944</v>
      </c>
      <c r="F8" s="8"/>
      <c r="G8" s="8">
        <v>944</v>
      </c>
      <c r="H8" s="8">
        <v>5536.57</v>
      </c>
      <c r="I8" s="8">
        <v>19377995</v>
      </c>
      <c r="J8" s="9">
        <v>150000</v>
      </c>
      <c r="K8" s="10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</row>
    <row r="9" spans="1:18">
      <c r="A9" t="s">
        <v>500</v>
      </c>
      <c r="B9">
        <v>1013313</v>
      </c>
      <c r="C9" s="6">
        <v>46035.324837963002</v>
      </c>
      <c r="D9" s="7" t="s">
        <v>493</v>
      </c>
      <c r="E9" s="8">
        <v>1731</v>
      </c>
      <c r="F9" s="8"/>
      <c r="G9" s="8">
        <v>1731</v>
      </c>
      <c r="H9" s="8">
        <v>3882.04</v>
      </c>
      <c r="I9" s="8">
        <v>13587140</v>
      </c>
      <c r="J9" s="9">
        <v>150000</v>
      </c>
      <c r="K9" s="10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</row>
    <row r="10" spans="1:18">
      <c r="A10" t="s">
        <v>501</v>
      </c>
      <c r="B10">
        <v>20196279</v>
      </c>
      <c r="C10" s="6">
        <v>46018.633657407401</v>
      </c>
      <c r="D10" s="7" t="s">
        <v>493</v>
      </c>
      <c r="E10" s="8">
        <v>2338</v>
      </c>
      <c r="F10" s="8"/>
      <c r="G10" s="8">
        <v>2338</v>
      </c>
      <c r="H10" s="8">
        <v>3665.21</v>
      </c>
      <c r="I10" s="8">
        <v>12828235</v>
      </c>
      <c r="J10" s="9">
        <v>150000</v>
      </c>
      <c r="K10" s="10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</row>
    <row r="11" spans="1:18">
      <c r="A11" t="s">
        <v>502</v>
      </c>
      <c r="B11">
        <v>18784151</v>
      </c>
      <c r="C11" s="6">
        <v>46068.187418981499</v>
      </c>
      <c r="D11" s="7" t="s">
        <v>493</v>
      </c>
      <c r="E11" s="8">
        <v>1406</v>
      </c>
      <c r="F11" s="8"/>
      <c r="G11" s="8">
        <v>1406</v>
      </c>
      <c r="H11" s="8">
        <v>3595.57</v>
      </c>
      <c r="I11" s="8">
        <v>12584495</v>
      </c>
      <c r="J11" s="9">
        <v>150000</v>
      </c>
      <c r="K11" s="10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</row>
    <row r="12" spans="1:18">
      <c r="A12" t="s">
        <v>503</v>
      </c>
      <c r="B12">
        <v>16695664</v>
      </c>
      <c r="C12" s="6">
        <v>46030.816192129598</v>
      </c>
      <c r="D12" s="7" t="s">
        <v>493</v>
      </c>
      <c r="E12" s="8">
        <v>1334</v>
      </c>
      <c r="F12" s="8"/>
      <c r="G12" s="8">
        <v>1334</v>
      </c>
      <c r="H12" s="8">
        <v>3572.37</v>
      </c>
      <c r="I12" s="8">
        <v>12503295</v>
      </c>
      <c r="J12" s="9">
        <v>150000</v>
      </c>
      <c r="K12" s="10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</row>
    <row r="13" spans="1:18">
      <c r="A13" t="s">
        <v>504</v>
      </c>
      <c r="B13">
        <v>8025786</v>
      </c>
      <c r="C13" s="6">
        <v>46062.685497685197</v>
      </c>
      <c r="D13" s="7" t="s">
        <v>493</v>
      </c>
      <c r="E13" s="8">
        <v>622</v>
      </c>
      <c r="F13" s="8"/>
      <c r="G13" s="8">
        <v>622</v>
      </c>
      <c r="H13" s="8">
        <v>3441.49</v>
      </c>
      <c r="I13" s="8">
        <v>12045215</v>
      </c>
      <c r="J13" s="9">
        <v>150000</v>
      </c>
      <c r="K13" s="10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</row>
    <row r="14" spans="1:18">
      <c r="A14" t="s">
        <v>505</v>
      </c>
      <c r="B14">
        <v>17998396</v>
      </c>
      <c r="C14" s="6">
        <v>46058.589930555601</v>
      </c>
      <c r="D14" s="7" t="s">
        <v>493</v>
      </c>
      <c r="E14" s="8">
        <v>3583</v>
      </c>
      <c r="F14" s="8"/>
      <c r="G14" s="8">
        <v>3583</v>
      </c>
      <c r="H14" s="8">
        <v>3134.77</v>
      </c>
      <c r="I14" s="8">
        <v>10971695</v>
      </c>
      <c r="J14" s="9">
        <v>150000</v>
      </c>
      <c r="K14" s="10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</row>
    <row r="15" spans="1:18">
      <c r="A15" t="s">
        <v>506</v>
      </c>
      <c r="B15">
        <v>16891762</v>
      </c>
      <c r="C15" s="6">
        <v>46062.047175925902</v>
      </c>
      <c r="D15" s="7" t="s">
        <v>493</v>
      </c>
      <c r="E15" s="8">
        <v>727</v>
      </c>
      <c r="F15" s="8"/>
      <c r="G15" s="8">
        <v>727</v>
      </c>
      <c r="H15" s="8">
        <v>2539.69</v>
      </c>
      <c r="I15" s="8">
        <v>8888915</v>
      </c>
      <c r="J15" s="9">
        <v>150000</v>
      </c>
      <c r="K15" s="10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</row>
    <row r="16" spans="1:18">
      <c r="A16" t="s">
        <v>507</v>
      </c>
      <c r="B16">
        <v>18171212</v>
      </c>
      <c r="C16" s="6">
        <v>45970.8910300926</v>
      </c>
      <c r="D16" s="7" t="s">
        <v>493</v>
      </c>
      <c r="E16" s="8">
        <v>335</v>
      </c>
      <c r="F16" s="8"/>
      <c r="G16" s="8">
        <v>335</v>
      </c>
      <c r="H16" s="8">
        <v>2520.7199999999998</v>
      </c>
      <c r="I16" s="8">
        <v>8822520</v>
      </c>
      <c r="J16" s="9">
        <v>150000</v>
      </c>
      <c r="K16" s="10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</row>
    <row r="17" spans="1:18">
      <c r="A17" t="s">
        <v>508</v>
      </c>
      <c r="B17">
        <v>9077808</v>
      </c>
      <c r="C17" s="6">
        <v>46065.825416666703</v>
      </c>
      <c r="D17" s="7" t="s">
        <v>493</v>
      </c>
      <c r="E17" s="8">
        <v>332</v>
      </c>
      <c r="F17" s="8"/>
      <c r="G17" s="8">
        <v>332</v>
      </c>
      <c r="H17" s="8">
        <v>2198.0700000000002</v>
      </c>
      <c r="I17" s="8">
        <v>7693245</v>
      </c>
      <c r="J17" s="9">
        <v>150000</v>
      </c>
      <c r="K17" s="10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</row>
    <row r="18" spans="1:18">
      <c r="A18" t="s">
        <v>509</v>
      </c>
      <c r="B18">
        <v>18036250</v>
      </c>
      <c r="C18" s="6">
        <v>45978.692696759303</v>
      </c>
      <c r="D18" s="7" t="s">
        <v>493</v>
      </c>
      <c r="E18" s="8">
        <v>488</v>
      </c>
      <c r="F18" s="8"/>
      <c r="G18" s="8">
        <v>488</v>
      </c>
      <c r="H18" s="8">
        <v>2151.8000000000002</v>
      </c>
      <c r="I18" s="8">
        <v>7531300</v>
      </c>
      <c r="J18" s="9">
        <v>150000</v>
      </c>
      <c r="K18" s="10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</row>
    <row r="19" spans="1:18">
      <c r="A19" t="s">
        <v>510</v>
      </c>
      <c r="B19">
        <v>16195340</v>
      </c>
      <c r="C19" s="6">
        <v>46046.447361111103</v>
      </c>
      <c r="D19" s="7" t="s">
        <v>493</v>
      </c>
      <c r="E19" s="8">
        <v>102</v>
      </c>
      <c r="F19" s="8"/>
      <c r="G19" s="8">
        <v>102</v>
      </c>
      <c r="H19" s="8">
        <v>1932.17</v>
      </c>
      <c r="I19" s="8">
        <v>6762595</v>
      </c>
      <c r="J19" s="9">
        <v>150000</v>
      </c>
      <c r="K19" s="10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</row>
    <row r="20" spans="1:18">
      <c r="A20" t="s">
        <v>511</v>
      </c>
      <c r="B20">
        <v>16648479</v>
      </c>
      <c r="C20" s="6">
        <v>46044.738668981503</v>
      </c>
      <c r="D20" s="7" t="s">
        <v>493</v>
      </c>
      <c r="E20" s="8">
        <v>1580</v>
      </c>
      <c r="F20" s="8"/>
      <c r="G20" s="8">
        <v>1580</v>
      </c>
      <c r="H20" s="8">
        <v>1922.76</v>
      </c>
      <c r="I20" s="8">
        <v>6729660</v>
      </c>
      <c r="J20" s="9">
        <v>150000</v>
      </c>
      <c r="K20" s="10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</row>
    <row r="21" spans="1:18">
      <c r="A21" t="s">
        <v>512</v>
      </c>
      <c r="B21">
        <v>19040941</v>
      </c>
      <c r="C21" s="6">
        <v>46065.619606481501</v>
      </c>
      <c r="D21" s="7" t="s">
        <v>493</v>
      </c>
      <c r="E21" s="8">
        <v>888</v>
      </c>
      <c r="F21" s="8"/>
      <c r="G21" s="8">
        <v>888</v>
      </c>
      <c r="H21" s="8">
        <v>1835.56</v>
      </c>
      <c r="I21" s="8">
        <v>6424460</v>
      </c>
      <c r="J21" s="9">
        <v>150000</v>
      </c>
      <c r="K21" s="10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</row>
    <row r="22" spans="1:18">
      <c r="A22" t="s">
        <v>513</v>
      </c>
      <c r="B22">
        <v>18638772</v>
      </c>
      <c r="C22" s="6">
        <v>46068.5323726852</v>
      </c>
      <c r="D22" s="7" t="s">
        <v>493</v>
      </c>
      <c r="E22" s="8">
        <v>656</v>
      </c>
      <c r="F22" s="8"/>
      <c r="G22" s="8">
        <v>656</v>
      </c>
      <c r="H22" s="8">
        <v>1794.95</v>
      </c>
      <c r="I22" s="8">
        <v>6282325</v>
      </c>
      <c r="J22" s="9">
        <v>150000</v>
      </c>
      <c r="K22" s="10">
        <v>1</v>
      </c>
      <c r="L22" s="11">
        <v>81.37</v>
      </c>
      <c r="M22" s="11">
        <v>772.83</v>
      </c>
      <c r="N22" s="11">
        <v>62.73</v>
      </c>
      <c r="O22" s="11">
        <v>0</v>
      </c>
      <c r="P22" s="11">
        <v>772.83</v>
      </c>
      <c r="Q22" s="11">
        <v>0</v>
      </c>
      <c r="R22" s="11">
        <v>62.73</v>
      </c>
    </row>
    <row r="23" spans="1:18">
      <c r="A23" t="s">
        <v>514</v>
      </c>
      <c r="B23">
        <v>16068949</v>
      </c>
      <c r="C23" s="6">
        <v>46046.745115740698</v>
      </c>
      <c r="D23" s="7" t="s">
        <v>493</v>
      </c>
      <c r="E23" s="8">
        <v>337</v>
      </c>
      <c r="F23" s="8"/>
      <c r="G23" s="8">
        <v>337</v>
      </c>
      <c r="H23" s="8">
        <v>1749.15</v>
      </c>
      <c r="I23" s="8">
        <v>6122025</v>
      </c>
      <c r="J23" s="9">
        <v>150000</v>
      </c>
      <c r="K23" s="10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</row>
    <row r="24" spans="1:18">
      <c r="A24" t="s">
        <v>515</v>
      </c>
      <c r="B24">
        <v>19389312</v>
      </c>
      <c r="C24" s="6">
        <v>45981.329120370399</v>
      </c>
      <c r="D24" s="7" t="s">
        <v>493</v>
      </c>
      <c r="E24" s="8">
        <v>807</v>
      </c>
      <c r="F24" s="8"/>
      <c r="G24" s="8">
        <v>807</v>
      </c>
      <c r="H24" s="8">
        <v>1747.39</v>
      </c>
      <c r="I24" s="8">
        <v>6115865</v>
      </c>
      <c r="J24" s="9">
        <v>150000</v>
      </c>
      <c r="K24" s="10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</row>
    <row r="25" spans="1:18">
      <c r="A25" t="s">
        <v>516</v>
      </c>
      <c r="B25">
        <v>8540577</v>
      </c>
      <c r="C25" s="6">
        <v>46066.263182870403</v>
      </c>
      <c r="D25" s="7" t="s">
        <v>493</v>
      </c>
      <c r="E25" s="8">
        <v>510</v>
      </c>
      <c r="F25" s="8"/>
      <c r="G25" s="8">
        <v>510</v>
      </c>
      <c r="H25" s="8">
        <v>1694.74</v>
      </c>
      <c r="I25" s="8">
        <v>5931590</v>
      </c>
      <c r="J25" s="9">
        <v>148300</v>
      </c>
      <c r="K25" s="10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</row>
    <row r="26" spans="1:18">
      <c r="A26" t="s">
        <v>517</v>
      </c>
      <c r="B26">
        <v>13243318</v>
      </c>
      <c r="C26" s="6">
        <v>46034.194374999999</v>
      </c>
      <c r="D26" s="7" t="s">
        <v>493</v>
      </c>
      <c r="E26" s="8">
        <v>1042</v>
      </c>
      <c r="F26" s="8"/>
      <c r="G26" s="8">
        <v>1042</v>
      </c>
      <c r="H26" s="8">
        <v>1682.91</v>
      </c>
      <c r="I26" s="8">
        <v>5890185</v>
      </c>
      <c r="J26" s="9">
        <v>147300</v>
      </c>
      <c r="K26" s="10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</row>
    <row r="27" spans="1:18">
      <c r="A27" t="s">
        <v>518</v>
      </c>
      <c r="B27">
        <v>6967550</v>
      </c>
      <c r="C27" s="6">
        <v>46047.874571759297</v>
      </c>
      <c r="D27" s="7" t="s">
        <v>493</v>
      </c>
      <c r="E27" s="8">
        <v>716</v>
      </c>
      <c r="F27" s="8"/>
      <c r="G27" s="8">
        <v>716</v>
      </c>
      <c r="H27" s="8">
        <v>1664.23</v>
      </c>
      <c r="I27" s="8">
        <v>5824805</v>
      </c>
      <c r="J27" s="9">
        <v>145600</v>
      </c>
      <c r="K27" s="10">
        <v>1</v>
      </c>
      <c r="L27" s="11">
        <v>42.53</v>
      </c>
      <c r="M27" s="11">
        <v>141.37</v>
      </c>
      <c r="N27" s="11">
        <v>-28.2</v>
      </c>
      <c r="O27" s="11">
        <v>0</v>
      </c>
      <c r="P27" s="11">
        <v>141.37</v>
      </c>
      <c r="Q27" s="11">
        <v>0</v>
      </c>
      <c r="R27" s="11">
        <v>-28.2</v>
      </c>
    </row>
    <row r="28" spans="1:18">
      <c r="A28" t="s">
        <v>519</v>
      </c>
      <c r="B28">
        <v>6245308</v>
      </c>
      <c r="C28" s="6">
        <v>46040.450196759302</v>
      </c>
      <c r="D28" s="7" t="s">
        <v>493</v>
      </c>
      <c r="E28" s="8">
        <v>648</v>
      </c>
      <c r="F28" s="8"/>
      <c r="G28" s="8">
        <v>648</v>
      </c>
      <c r="H28" s="8">
        <v>1549.69</v>
      </c>
      <c r="I28" s="8">
        <v>5423915</v>
      </c>
      <c r="J28" s="9">
        <v>135600</v>
      </c>
      <c r="K28" s="10">
        <v>0</v>
      </c>
      <c r="L28" s="11">
        <v>0</v>
      </c>
      <c r="M28" s="11">
        <v>0.05</v>
      </c>
      <c r="N28" s="11">
        <v>0.05</v>
      </c>
      <c r="O28" s="11">
        <v>0.05</v>
      </c>
      <c r="P28" s="11">
        <v>0</v>
      </c>
      <c r="Q28" s="11">
        <v>0.05</v>
      </c>
      <c r="R28" s="11">
        <v>0</v>
      </c>
    </row>
    <row r="29" spans="1:18">
      <c r="A29" t="s">
        <v>520</v>
      </c>
      <c r="B29">
        <v>19395051</v>
      </c>
      <c r="C29" s="6">
        <v>46046.277384259301</v>
      </c>
      <c r="D29" s="7" t="s">
        <v>493</v>
      </c>
      <c r="E29" s="8">
        <v>1129</v>
      </c>
      <c r="F29" s="8"/>
      <c r="G29" s="8">
        <v>1129</v>
      </c>
      <c r="H29" s="8">
        <v>1501.52</v>
      </c>
      <c r="I29" s="8">
        <v>5255320</v>
      </c>
      <c r="J29" s="9">
        <v>131400</v>
      </c>
      <c r="K29" s="10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</row>
    <row r="30" spans="1:18">
      <c r="A30" t="s">
        <v>521</v>
      </c>
      <c r="B30">
        <v>18011594</v>
      </c>
      <c r="C30" s="6">
        <v>46059.603101851899</v>
      </c>
      <c r="D30" s="7" t="s">
        <v>493</v>
      </c>
      <c r="E30" s="8">
        <v>344</v>
      </c>
      <c r="F30" s="8"/>
      <c r="G30" s="8">
        <v>344</v>
      </c>
      <c r="H30" s="8">
        <v>1492.19</v>
      </c>
      <c r="I30" s="8">
        <v>5222665</v>
      </c>
      <c r="J30" s="9">
        <v>130600</v>
      </c>
      <c r="K30" s="10">
        <v>1</v>
      </c>
      <c r="L30" s="11">
        <v>26.8</v>
      </c>
      <c r="M30" s="11">
        <v>41.78</v>
      </c>
      <c r="N30" s="11">
        <v>26.81</v>
      </c>
      <c r="O30" s="11">
        <v>0</v>
      </c>
      <c r="P30" s="11">
        <v>41.78</v>
      </c>
      <c r="Q30" s="11">
        <v>0</v>
      </c>
      <c r="R30" s="11">
        <v>26.81</v>
      </c>
    </row>
    <row r="31" spans="1:18">
      <c r="A31" t="s">
        <v>522</v>
      </c>
      <c r="B31">
        <v>17289439</v>
      </c>
      <c r="C31" s="6">
        <v>45939.745289351798</v>
      </c>
      <c r="D31" s="7" t="s">
        <v>493</v>
      </c>
      <c r="E31" s="8">
        <v>419</v>
      </c>
      <c r="F31" s="8"/>
      <c r="G31" s="8">
        <v>419</v>
      </c>
      <c r="H31" s="8">
        <v>1457.73</v>
      </c>
      <c r="I31" s="8">
        <v>5102055</v>
      </c>
      <c r="J31" s="9">
        <v>127600</v>
      </c>
      <c r="K31" s="10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</row>
    <row r="32" spans="1:18">
      <c r="A32" t="s">
        <v>523</v>
      </c>
      <c r="B32">
        <v>8993081</v>
      </c>
      <c r="C32" s="6">
        <v>45964.697997685202</v>
      </c>
      <c r="D32" s="7" t="s">
        <v>493</v>
      </c>
      <c r="E32" s="8">
        <v>810</v>
      </c>
      <c r="F32" s="8"/>
      <c r="G32" s="8">
        <v>810</v>
      </c>
      <c r="H32" s="8">
        <v>1384.02</v>
      </c>
      <c r="I32" s="8">
        <v>4844070</v>
      </c>
      <c r="J32" s="9">
        <v>121100</v>
      </c>
      <c r="K32" s="10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</row>
    <row r="33" spans="1:18">
      <c r="A33" t="s">
        <v>524</v>
      </c>
      <c r="B33">
        <v>6094135</v>
      </c>
      <c r="C33" s="6">
        <v>46052.566516203697</v>
      </c>
      <c r="D33" s="7" t="s">
        <v>493</v>
      </c>
      <c r="E33" s="8">
        <v>326</v>
      </c>
      <c r="F33" s="8"/>
      <c r="G33" s="8">
        <v>326</v>
      </c>
      <c r="H33" s="8">
        <v>1352.63</v>
      </c>
      <c r="I33" s="8">
        <v>4734205</v>
      </c>
      <c r="J33" s="9">
        <v>118400</v>
      </c>
      <c r="K33" s="10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</row>
    <row r="34" spans="1:18">
      <c r="A34" t="s">
        <v>525</v>
      </c>
      <c r="B34">
        <v>13242810</v>
      </c>
      <c r="C34" s="6">
        <v>46034.877025463</v>
      </c>
      <c r="D34" s="7" t="s">
        <v>493</v>
      </c>
      <c r="E34" s="8">
        <v>782</v>
      </c>
      <c r="F34" s="8"/>
      <c r="G34" s="8">
        <v>782</v>
      </c>
      <c r="H34" s="8">
        <v>1318.84</v>
      </c>
      <c r="I34" s="8">
        <v>4615940</v>
      </c>
      <c r="J34" s="9">
        <v>115400</v>
      </c>
      <c r="K34" s="10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</row>
    <row r="35" spans="1:18">
      <c r="A35" t="s">
        <v>526</v>
      </c>
      <c r="B35">
        <v>15523223</v>
      </c>
      <c r="C35" s="6">
        <v>46066.423391203702</v>
      </c>
      <c r="D35" s="7" t="s">
        <v>493</v>
      </c>
      <c r="E35" s="8">
        <v>946</v>
      </c>
      <c r="F35" s="8"/>
      <c r="G35" s="8">
        <v>946</v>
      </c>
      <c r="H35" s="8">
        <v>1303.1300000000001</v>
      </c>
      <c r="I35" s="8">
        <v>4560955</v>
      </c>
      <c r="J35" s="9">
        <v>114000</v>
      </c>
      <c r="K35" s="10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</row>
    <row r="36" spans="1:18">
      <c r="A36" t="s">
        <v>527</v>
      </c>
      <c r="B36">
        <v>13433350</v>
      </c>
      <c r="C36" s="6">
        <v>46011.806678240697</v>
      </c>
      <c r="D36" s="7" t="s">
        <v>493</v>
      </c>
      <c r="E36" s="8">
        <v>413</v>
      </c>
      <c r="F36" s="8"/>
      <c r="G36" s="8">
        <v>413</v>
      </c>
      <c r="H36" s="8">
        <v>1244.8499999999999</v>
      </c>
      <c r="I36" s="8">
        <v>4356975</v>
      </c>
      <c r="J36" s="9">
        <v>108900</v>
      </c>
      <c r="K36" s="10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</row>
    <row r="37" spans="1:18">
      <c r="A37" t="s">
        <v>528</v>
      </c>
      <c r="B37">
        <v>14580096</v>
      </c>
      <c r="C37" s="6">
        <v>46054.7522916667</v>
      </c>
      <c r="D37" s="7" t="s">
        <v>493</v>
      </c>
      <c r="E37" s="8">
        <v>857</v>
      </c>
      <c r="F37" s="8"/>
      <c r="G37" s="8">
        <v>857</v>
      </c>
      <c r="H37" s="8">
        <v>1177.94</v>
      </c>
      <c r="I37" s="8">
        <v>4122790</v>
      </c>
      <c r="J37" s="9">
        <v>103100</v>
      </c>
      <c r="K37" s="10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</row>
    <row r="38" spans="1:18">
      <c r="A38" t="s">
        <v>529</v>
      </c>
      <c r="B38">
        <v>18247839</v>
      </c>
      <c r="C38" s="6">
        <v>46061.156817129602</v>
      </c>
      <c r="D38" s="7" t="s">
        <v>493</v>
      </c>
      <c r="E38" s="8">
        <v>290</v>
      </c>
      <c r="F38" s="8"/>
      <c r="G38" s="8">
        <v>290</v>
      </c>
      <c r="H38" s="8">
        <v>1172.1600000000001</v>
      </c>
      <c r="I38" s="8">
        <v>4102560</v>
      </c>
      <c r="J38" s="9">
        <v>102600</v>
      </c>
      <c r="K38" s="10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</row>
    <row r="39" spans="1:18">
      <c r="A39" t="s">
        <v>530</v>
      </c>
      <c r="B39">
        <v>14046669</v>
      </c>
      <c r="C39" s="6">
        <v>46030.632199074098</v>
      </c>
      <c r="D39" s="7" t="s">
        <v>493</v>
      </c>
      <c r="E39" s="8">
        <v>185</v>
      </c>
      <c r="F39" s="8"/>
      <c r="G39" s="8">
        <v>185</v>
      </c>
      <c r="H39" s="8">
        <v>1147.26</v>
      </c>
      <c r="I39" s="8">
        <v>4015410</v>
      </c>
      <c r="J39" s="9">
        <v>100400</v>
      </c>
      <c r="K39" s="10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</row>
    <row r="40" spans="1:18">
      <c r="A40" t="s">
        <v>531</v>
      </c>
      <c r="B40">
        <v>4981397</v>
      </c>
      <c r="C40" s="6">
        <v>46062.354027777801</v>
      </c>
      <c r="D40" s="7" t="s">
        <v>493</v>
      </c>
      <c r="E40" s="8">
        <v>199</v>
      </c>
      <c r="F40" s="8"/>
      <c r="G40" s="8">
        <v>199</v>
      </c>
      <c r="H40" s="8">
        <v>1138.23</v>
      </c>
      <c r="I40" s="8">
        <v>3983805</v>
      </c>
      <c r="J40" s="9">
        <v>99600</v>
      </c>
      <c r="K40" s="10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</row>
    <row r="41" spans="1:18">
      <c r="A41" t="s">
        <v>532</v>
      </c>
      <c r="B41">
        <v>15783309</v>
      </c>
      <c r="C41" s="6">
        <v>46032.718726851897</v>
      </c>
      <c r="D41" s="7" t="s">
        <v>493</v>
      </c>
      <c r="E41" s="8">
        <v>282</v>
      </c>
      <c r="F41" s="8"/>
      <c r="G41" s="8">
        <v>282</v>
      </c>
      <c r="H41" s="8">
        <v>1124.92</v>
      </c>
      <c r="I41" s="8">
        <v>3937220</v>
      </c>
      <c r="J41" s="9">
        <v>98400</v>
      </c>
      <c r="K41" s="10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</row>
    <row r="42" spans="1:18">
      <c r="A42" t="s">
        <v>533</v>
      </c>
      <c r="B42">
        <v>19585766</v>
      </c>
      <c r="C42" s="6">
        <v>46023.4363310185</v>
      </c>
      <c r="D42" s="7" t="s">
        <v>493</v>
      </c>
      <c r="E42" s="8">
        <v>509</v>
      </c>
      <c r="F42" s="8"/>
      <c r="G42" s="8">
        <v>509</v>
      </c>
      <c r="H42" s="8">
        <v>1123.45</v>
      </c>
      <c r="I42" s="8">
        <v>3932075</v>
      </c>
      <c r="J42" s="9">
        <v>98300</v>
      </c>
      <c r="K42" s="10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</row>
    <row r="43" spans="1:18">
      <c r="A43" t="s">
        <v>534</v>
      </c>
      <c r="B43">
        <v>18103484</v>
      </c>
      <c r="C43" s="6">
        <v>46046.420891203699</v>
      </c>
      <c r="D43" s="7" t="s">
        <v>493</v>
      </c>
      <c r="E43" s="8">
        <v>518</v>
      </c>
      <c r="F43" s="8"/>
      <c r="G43" s="8">
        <v>518</v>
      </c>
      <c r="H43" s="8">
        <v>1110.57</v>
      </c>
      <c r="I43" s="8">
        <v>3886995</v>
      </c>
      <c r="J43" s="9">
        <v>97200</v>
      </c>
      <c r="K43" s="10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</row>
    <row r="44" spans="1:18">
      <c r="A44" t="s">
        <v>535</v>
      </c>
      <c r="B44">
        <v>9597423</v>
      </c>
      <c r="C44" s="6">
        <v>46011.664189814801</v>
      </c>
      <c r="D44" s="7" t="s">
        <v>493</v>
      </c>
      <c r="E44" s="8">
        <v>91</v>
      </c>
      <c r="F44" s="8"/>
      <c r="G44" s="8">
        <v>91</v>
      </c>
      <c r="H44" s="8">
        <v>1094.8499999999999</v>
      </c>
      <c r="I44" s="8">
        <v>3831975</v>
      </c>
      <c r="J44" s="9">
        <v>95800</v>
      </c>
      <c r="K44" s="10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</row>
    <row r="45" spans="1:18">
      <c r="A45" t="s">
        <v>536</v>
      </c>
      <c r="B45">
        <v>9318272</v>
      </c>
      <c r="C45" s="6">
        <v>46018.454444444404</v>
      </c>
      <c r="D45" s="7" t="s">
        <v>493</v>
      </c>
      <c r="E45" s="8">
        <v>214</v>
      </c>
      <c r="F45" s="8"/>
      <c r="G45" s="8">
        <v>214</v>
      </c>
      <c r="H45" s="8">
        <v>1069.33</v>
      </c>
      <c r="I45" s="8">
        <v>3742655</v>
      </c>
      <c r="J45" s="9">
        <v>93600</v>
      </c>
      <c r="K45" s="10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</row>
    <row r="46" spans="1:18">
      <c r="A46" t="s">
        <v>537</v>
      </c>
      <c r="B46">
        <v>8072830</v>
      </c>
      <c r="C46" s="6">
        <v>46055.887789351902</v>
      </c>
      <c r="D46" s="7" t="s">
        <v>493</v>
      </c>
      <c r="E46" s="8">
        <v>297</v>
      </c>
      <c r="F46" s="8"/>
      <c r="G46" s="8">
        <v>297</v>
      </c>
      <c r="H46" s="8">
        <v>1026.55</v>
      </c>
      <c r="I46" s="8">
        <v>3592925</v>
      </c>
      <c r="J46" s="9">
        <v>89800</v>
      </c>
      <c r="K46" s="10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</row>
    <row r="47" spans="1:18">
      <c r="A47" t="s">
        <v>538</v>
      </c>
      <c r="B47">
        <v>19017729</v>
      </c>
      <c r="C47" s="6">
        <v>46039.975046296298</v>
      </c>
      <c r="D47" s="7" t="s">
        <v>493</v>
      </c>
      <c r="E47" s="8">
        <v>301</v>
      </c>
      <c r="F47" s="8"/>
      <c r="G47" s="8">
        <v>301</v>
      </c>
      <c r="H47" s="8">
        <v>1009.02</v>
      </c>
      <c r="I47" s="8">
        <v>3531570</v>
      </c>
      <c r="J47" s="9">
        <v>88300</v>
      </c>
      <c r="K47" s="10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</row>
    <row r="48" spans="1:18">
      <c r="A48" t="s">
        <v>539</v>
      </c>
      <c r="B48">
        <v>18284020</v>
      </c>
      <c r="C48" s="6">
        <v>46024.7440740741</v>
      </c>
      <c r="D48" s="7" t="s">
        <v>493</v>
      </c>
      <c r="E48" s="8">
        <v>475</v>
      </c>
      <c r="F48" s="8"/>
      <c r="G48" s="8">
        <v>475</v>
      </c>
      <c r="H48" s="8">
        <v>922.09</v>
      </c>
      <c r="I48" s="8">
        <v>3227315</v>
      </c>
      <c r="J48" s="9">
        <v>80700</v>
      </c>
      <c r="K48" s="10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</row>
    <row r="49" spans="1:18">
      <c r="A49" t="s">
        <v>540</v>
      </c>
      <c r="B49">
        <v>11670021</v>
      </c>
      <c r="C49" s="6">
        <v>45932.763923611099</v>
      </c>
      <c r="D49" s="7" t="s">
        <v>493</v>
      </c>
      <c r="E49" s="8">
        <v>816</v>
      </c>
      <c r="F49" s="8"/>
      <c r="G49" s="8">
        <v>816</v>
      </c>
      <c r="H49" s="8">
        <v>918.3</v>
      </c>
      <c r="I49" s="8">
        <v>3214050</v>
      </c>
      <c r="J49" s="9">
        <v>80400</v>
      </c>
      <c r="K49" s="10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</row>
    <row r="50" spans="1:18">
      <c r="A50" t="s">
        <v>541</v>
      </c>
      <c r="B50">
        <v>19244502</v>
      </c>
      <c r="C50" s="6">
        <v>45986.816296296303</v>
      </c>
      <c r="D50" s="7" t="s">
        <v>493</v>
      </c>
      <c r="E50" s="8">
        <v>946</v>
      </c>
      <c r="F50" s="8"/>
      <c r="G50" s="8">
        <v>946</v>
      </c>
      <c r="H50" s="8">
        <v>905.49</v>
      </c>
      <c r="I50" s="8">
        <v>3169215</v>
      </c>
      <c r="J50" s="9">
        <v>79200</v>
      </c>
      <c r="K50" s="10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</row>
    <row r="51" spans="1:18">
      <c r="A51" t="s">
        <v>542</v>
      </c>
      <c r="B51">
        <v>17966404</v>
      </c>
      <c r="C51" s="6">
        <v>46067.167696759301</v>
      </c>
      <c r="D51" s="7" t="s">
        <v>493</v>
      </c>
      <c r="E51" s="8">
        <v>261</v>
      </c>
      <c r="F51" s="8"/>
      <c r="G51" s="8">
        <v>261</v>
      </c>
      <c r="H51" s="8">
        <v>890.98</v>
      </c>
      <c r="I51" s="8">
        <v>3118430</v>
      </c>
      <c r="J51" s="9">
        <v>78000</v>
      </c>
      <c r="K51" s="10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</row>
    <row r="52" spans="1:18">
      <c r="A52" t="s">
        <v>543</v>
      </c>
      <c r="B52">
        <v>18234232</v>
      </c>
      <c r="C52" s="6">
        <v>45983.464340277802</v>
      </c>
      <c r="D52" s="7" t="s">
        <v>493</v>
      </c>
      <c r="E52" s="8">
        <v>183</v>
      </c>
      <c r="F52" s="8"/>
      <c r="G52" s="8">
        <v>183</v>
      </c>
      <c r="H52" s="8">
        <v>825.98</v>
      </c>
      <c r="I52" s="8">
        <v>2890930</v>
      </c>
      <c r="J52" s="9">
        <v>72300</v>
      </c>
      <c r="K52" s="10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</row>
    <row r="53" spans="1:18">
      <c r="A53" t="s">
        <v>544</v>
      </c>
      <c r="B53">
        <v>18925301</v>
      </c>
      <c r="C53" s="6">
        <v>45987.105868055602</v>
      </c>
      <c r="D53" s="7" t="s">
        <v>493</v>
      </c>
      <c r="E53" s="8">
        <v>439</v>
      </c>
      <c r="F53" s="8"/>
      <c r="G53" s="8">
        <v>439</v>
      </c>
      <c r="H53" s="8">
        <v>796.79</v>
      </c>
      <c r="I53" s="8">
        <v>2788765</v>
      </c>
      <c r="J53" s="9">
        <v>69700</v>
      </c>
      <c r="K53" s="10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</row>
    <row r="54" spans="1:18">
      <c r="A54" t="s">
        <v>545</v>
      </c>
      <c r="B54">
        <v>5201663</v>
      </c>
      <c r="C54" s="6">
        <v>46055.368622685201</v>
      </c>
      <c r="D54" s="7" t="s">
        <v>493</v>
      </c>
      <c r="E54" s="8">
        <v>147</v>
      </c>
      <c r="F54" s="8"/>
      <c r="G54" s="8">
        <v>147</v>
      </c>
      <c r="H54" s="8">
        <v>772.04</v>
      </c>
      <c r="I54" s="8">
        <v>2702140</v>
      </c>
      <c r="J54" s="9">
        <v>67600</v>
      </c>
      <c r="K54" s="10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</row>
    <row r="55" spans="1:18">
      <c r="A55" t="s">
        <v>546</v>
      </c>
      <c r="B55">
        <v>13449893</v>
      </c>
      <c r="C55" s="6">
        <v>46057.417210648098</v>
      </c>
      <c r="D55" s="7" t="s">
        <v>493</v>
      </c>
      <c r="E55" s="8">
        <v>276</v>
      </c>
      <c r="F55" s="8"/>
      <c r="G55" s="8">
        <v>276</v>
      </c>
      <c r="H55" s="8">
        <v>769.07</v>
      </c>
      <c r="I55" s="8">
        <v>2691745</v>
      </c>
      <c r="J55" s="9">
        <v>67300</v>
      </c>
      <c r="K55" s="10">
        <v>1</v>
      </c>
      <c r="L55" s="11">
        <v>64.430000000000007</v>
      </c>
      <c r="M55" s="11">
        <v>836.6</v>
      </c>
      <c r="N55" s="11">
        <v>64.31</v>
      </c>
      <c r="O55" s="11">
        <v>0</v>
      </c>
      <c r="P55" s="11">
        <v>836.6</v>
      </c>
      <c r="Q55" s="11">
        <v>0</v>
      </c>
      <c r="R55" s="11">
        <v>64.31</v>
      </c>
    </row>
    <row r="56" spans="1:18">
      <c r="A56" t="s">
        <v>547</v>
      </c>
      <c r="B56">
        <v>19049606</v>
      </c>
      <c r="C56" s="6">
        <v>45972.536493055602</v>
      </c>
      <c r="D56" s="7" t="s">
        <v>493</v>
      </c>
      <c r="E56" s="8">
        <v>206</v>
      </c>
      <c r="F56" s="8"/>
      <c r="G56" s="8">
        <v>206</v>
      </c>
      <c r="H56" s="8">
        <v>768.02</v>
      </c>
      <c r="I56" s="8">
        <v>2688070</v>
      </c>
      <c r="J56" s="9">
        <v>67200</v>
      </c>
      <c r="K56" s="10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</row>
    <row r="57" spans="1:18">
      <c r="A57" t="s">
        <v>548</v>
      </c>
      <c r="B57">
        <v>4775334</v>
      </c>
      <c r="C57" s="6">
        <v>46065.1930208333</v>
      </c>
      <c r="D57" s="7" t="s">
        <v>493</v>
      </c>
      <c r="E57" s="8">
        <v>189</v>
      </c>
      <c r="F57" s="8"/>
      <c r="G57" s="8">
        <v>189</v>
      </c>
      <c r="H57" s="8">
        <v>756.88</v>
      </c>
      <c r="I57" s="8">
        <v>2649080</v>
      </c>
      <c r="J57" s="9">
        <v>66200</v>
      </c>
      <c r="K57" s="10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</row>
    <row r="58" spans="1:18">
      <c r="A58" t="s">
        <v>549</v>
      </c>
      <c r="B58">
        <v>4768562</v>
      </c>
      <c r="C58" s="6">
        <v>46063.714085648098</v>
      </c>
      <c r="D58" s="7" t="s">
        <v>493</v>
      </c>
      <c r="E58" s="8">
        <v>202</v>
      </c>
      <c r="F58" s="8"/>
      <c r="G58" s="8">
        <v>202</v>
      </c>
      <c r="H58" s="8">
        <v>750</v>
      </c>
      <c r="I58" s="8">
        <v>2625000</v>
      </c>
      <c r="J58" s="9">
        <v>65600</v>
      </c>
      <c r="K58" s="10">
        <v>1</v>
      </c>
      <c r="L58" s="11">
        <v>397.42</v>
      </c>
      <c r="M58" s="11">
        <v>1039.05</v>
      </c>
      <c r="N58" s="11">
        <v>-19.59</v>
      </c>
      <c r="O58" s="11">
        <v>0</v>
      </c>
      <c r="P58" s="11">
        <v>1039.05</v>
      </c>
      <c r="Q58" s="11">
        <v>0</v>
      </c>
      <c r="R58" s="11">
        <v>-19.59</v>
      </c>
    </row>
    <row r="59" spans="1:18">
      <c r="A59" t="s">
        <v>550</v>
      </c>
      <c r="B59">
        <v>20221764</v>
      </c>
      <c r="C59" s="6">
        <v>46030.822627314803</v>
      </c>
      <c r="D59" s="7" t="s">
        <v>493</v>
      </c>
      <c r="E59" s="8">
        <v>234</v>
      </c>
      <c r="F59" s="8"/>
      <c r="G59" s="8">
        <v>234</v>
      </c>
      <c r="H59" s="8">
        <v>734.61</v>
      </c>
      <c r="I59" s="8">
        <v>2571135</v>
      </c>
      <c r="J59" s="9">
        <v>64300</v>
      </c>
      <c r="K59" s="10">
        <v>1</v>
      </c>
      <c r="L59" s="11">
        <v>3.58</v>
      </c>
      <c r="M59" s="11">
        <v>3.58</v>
      </c>
      <c r="N59" s="11">
        <v>3.58</v>
      </c>
      <c r="O59" s="11">
        <v>0</v>
      </c>
      <c r="P59" s="11">
        <v>3.58</v>
      </c>
      <c r="Q59" s="11">
        <v>0</v>
      </c>
      <c r="R59" s="11">
        <v>3.58</v>
      </c>
    </row>
    <row r="60" spans="1:18">
      <c r="A60" t="s">
        <v>551</v>
      </c>
      <c r="B60">
        <v>5177076</v>
      </c>
      <c r="C60" s="6">
        <v>46014.195868055598</v>
      </c>
      <c r="D60" s="7" t="s">
        <v>493</v>
      </c>
      <c r="E60" s="8">
        <v>1234</v>
      </c>
      <c r="F60" s="8"/>
      <c r="G60" s="8">
        <v>1234</v>
      </c>
      <c r="H60" s="8">
        <v>723.53</v>
      </c>
      <c r="I60" s="8">
        <v>2532355</v>
      </c>
      <c r="J60" s="9">
        <v>63300</v>
      </c>
      <c r="K60" s="10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</row>
    <row r="61" spans="1:18">
      <c r="A61" t="s">
        <v>552</v>
      </c>
      <c r="B61">
        <v>13666043</v>
      </c>
      <c r="C61" s="6">
        <v>46048.345092592601</v>
      </c>
      <c r="D61" s="7" t="s">
        <v>493</v>
      </c>
      <c r="E61" s="8">
        <v>121</v>
      </c>
      <c r="F61" s="8"/>
      <c r="G61" s="8">
        <v>121</v>
      </c>
      <c r="H61" s="8">
        <v>707.47</v>
      </c>
      <c r="I61" s="8">
        <v>2476145</v>
      </c>
      <c r="J61" s="9">
        <v>61900</v>
      </c>
      <c r="K61" s="10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</row>
    <row r="62" spans="1:18">
      <c r="A62" t="s">
        <v>553</v>
      </c>
      <c r="B62">
        <v>18543501</v>
      </c>
      <c r="C62" s="6">
        <v>46053.7274189815</v>
      </c>
      <c r="D62" s="7" t="s">
        <v>493</v>
      </c>
      <c r="E62" s="8">
        <v>471</v>
      </c>
      <c r="F62" s="8"/>
      <c r="G62" s="8">
        <v>471</v>
      </c>
      <c r="H62" s="8">
        <v>703.74</v>
      </c>
      <c r="I62" s="8">
        <v>2463090</v>
      </c>
      <c r="J62" s="9">
        <v>61600</v>
      </c>
      <c r="K62" s="10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</row>
    <row r="63" spans="1:18">
      <c r="A63" t="s">
        <v>554</v>
      </c>
      <c r="B63">
        <v>19639240</v>
      </c>
      <c r="C63" s="6">
        <v>46003.408784722204</v>
      </c>
      <c r="D63" s="7" t="s">
        <v>493</v>
      </c>
      <c r="E63" s="8">
        <v>123</v>
      </c>
      <c r="F63" s="8"/>
      <c r="G63" s="8">
        <v>123</v>
      </c>
      <c r="H63" s="8">
        <v>695.49</v>
      </c>
      <c r="I63" s="8">
        <v>2434215</v>
      </c>
      <c r="J63" s="9">
        <v>60900</v>
      </c>
      <c r="K63" s="10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</row>
    <row r="64" spans="1:18">
      <c r="A64" t="s">
        <v>555</v>
      </c>
      <c r="B64">
        <v>16696977</v>
      </c>
      <c r="C64" s="6">
        <v>46018.723263888904</v>
      </c>
      <c r="D64" s="7" t="s">
        <v>493</v>
      </c>
      <c r="E64" s="8">
        <v>266</v>
      </c>
      <c r="F64" s="8"/>
      <c r="G64" s="8">
        <v>266</v>
      </c>
      <c r="H64" s="8">
        <v>681.7</v>
      </c>
      <c r="I64" s="8">
        <v>2385950</v>
      </c>
      <c r="J64" s="9">
        <v>59600</v>
      </c>
      <c r="K64" s="10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</row>
    <row r="65" spans="1:18">
      <c r="A65" t="s">
        <v>556</v>
      </c>
      <c r="B65">
        <v>15856958</v>
      </c>
      <c r="C65" s="6">
        <v>46031.252962963001</v>
      </c>
      <c r="D65" s="7" t="s">
        <v>493</v>
      </c>
      <c r="E65" s="8">
        <v>153</v>
      </c>
      <c r="F65" s="8"/>
      <c r="G65" s="8">
        <v>153</v>
      </c>
      <c r="H65" s="8">
        <v>679.59</v>
      </c>
      <c r="I65" s="8">
        <v>2378565</v>
      </c>
      <c r="J65" s="9">
        <v>59500</v>
      </c>
      <c r="K65" s="10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</row>
    <row r="66" spans="1:18">
      <c r="A66" t="s">
        <v>557</v>
      </c>
      <c r="B66">
        <v>17641477</v>
      </c>
      <c r="C66" s="6">
        <v>46015.3274074074</v>
      </c>
      <c r="D66" s="7" t="s">
        <v>493</v>
      </c>
      <c r="E66" s="8">
        <v>197</v>
      </c>
      <c r="F66" s="8"/>
      <c r="G66" s="8">
        <v>197</v>
      </c>
      <c r="H66" s="8">
        <v>676.59</v>
      </c>
      <c r="I66" s="8">
        <v>2368065</v>
      </c>
      <c r="J66" s="9">
        <v>59200</v>
      </c>
      <c r="K66" s="10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</row>
    <row r="67" spans="1:18">
      <c r="A67" t="s">
        <v>558</v>
      </c>
      <c r="B67">
        <v>10538385</v>
      </c>
      <c r="C67" s="6">
        <v>46026.487870370402</v>
      </c>
      <c r="D67" s="7" t="s">
        <v>493</v>
      </c>
      <c r="E67" s="8">
        <v>940</v>
      </c>
      <c r="F67" s="8"/>
      <c r="G67" s="8">
        <v>940</v>
      </c>
      <c r="H67" s="8">
        <v>669.46</v>
      </c>
      <c r="I67" s="8">
        <v>2343110</v>
      </c>
      <c r="J67" s="9">
        <v>58600</v>
      </c>
      <c r="K67" s="10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</row>
    <row r="68" spans="1:18">
      <c r="A68" t="s">
        <v>559</v>
      </c>
      <c r="B68">
        <v>4851503</v>
      </c>
      <c r="C68" s="6">
        <v>45981.331631944398</v>
      </c>
      <c r="D68" s="7" t="s">
        <v>493</v>
      </c>
      <c r="E68" s="8">
        <v>1103</v>
      </c>
      <c r="F68" s="8"/>
      <c r="G68" s="8">
        <v>1103</v>
      </c>
      <c r="H68" s="8">
        <v>669.25</v>
      </c>
      <c r="I68" s="8">
        <v>2342375</v>
      </c>
      <c r="J68" s="9">
        <v>58600</v>
      </c>
      <c r="K68" s="10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</row>
    <row r="69" spans="1:18">
      <c r="A69" t="s">
        <v>560</v>
      </c>
      <c r="B69">
        <v>12357335</v>
      </c>
      <c r="C69" s="6">
        <v>46043.365787037001</v>
      </c>
      <c r="D69" s="7" t="s">
        <v>493</v>
      </c>
      <c r="E69" s="8">
        <v>165</v>
      </c>
      <c r="F69" s="8"/>
      <c r="G69" s="8">
        <v>165</v>
      </c>
      <c r="H69" s="8">
        <v>664.95</v>
      </c>
      <c r="I69" s="8">
        <v>2327325</v>
      </c>
      <c r="J69" s="9">
        <v>58200</v>
      </c>
      <c r="K69" s="10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</row>
    <row r="70" spans="1:18">
      <c r="A70" t="s">
        <v>561</v>
      </c>
      <c r="B70">
        <v>19522796</v>
      </c>
      <c r="C70" s="6">
        <v>46019.297037037002</v>
      </c>
      <c r="D70" s="7" t="s">
        <v>493</v>
      </c>
      <c r="E70" s="8">
        <v>450</v>
      </c>
      <c r="F70" s="8"/>
      <c r="G70" s="8">
        <v>450</v>
      </c>
      <c r="H70" s="8">
        <v>662.24</v>
      </c>
      <c r="I70" s="8">
        <v>2317840</v>
      </c>
      <c r="J70" s="9">
        <v>57900</v>
      </c>
      <c r="K70" s="10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</row>
    <row r="71" spans="1:18">
      <c r="A71" t="s">
        <v>562</v>
      </c>
      <c r="B71">
        <v>11811103</v>
      </c>
      <c r="C71" s="6">
        <v>46051.823402777802</v>
      </c>
      <c r="D71" s="7" t="s">
        <v>493</v>
      </c>
      <c r="E71" s="8">
        <v>247</v>
      </c>
      <c r="F71" s="8"/>
      <c r="G71" s="8">
        <v>247</v>
      </c>
      <c r="H71" s="8">
        <v>621.47</v>
      </c>
      <c r="I71" s="8">
        <v>2175145</v>
      </c>
      <c r="J71" s="9">
        <v>54400</v>
      </c>
      <c r="K71" s="10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</row>
    <row r="72" spans="1:18">
      <c r="A72" t="s">
        <v>563</v>
      </c>
      <c r="B72">
        <v>19183208</v>
      </c>
      <c r="C72" s="6">
        <v>46044.206678240698</v>
      </c>
      <c r="D72" s="7" t="s">
        <v>493</v>
      </c>
      <c r="E72" s="8">
        <v>213</v>
      </c>
      <c r="F72" s="8"/>
      <c r="G72" s="8">
        <v>213</v>
      </c>
      <c r="H72" s="8">
        <v>617.78</v>
      </c>
      <c r="I72" s="8">
        <v>2162230</v>
      </c>
      <c r="J72" s="9">
        <v>54100</v>
      </c>
      <c r="K72" s="10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</row>
    <row r="73" spans="1:18">
      <c r="A73" t="s">
        <v>564</v>
      </c>
      <c r="B73">
        <v>13731496</v>
      </c>
      <c r="C73" s="6">
        <v>46034.878148148098</v>
      </c>
      <c r="D73" s="7" t="s">
        <v>493</v>
      </c>
      <c r="E73" s="8">
        <v>329</v>
      </c>
      <c r="F73" s="8"/>
      <c r="G73" s="8">
        <v>329</v>
      </c>
      <c r="H73" s="8">
        <v>616.83000000000004</v>
      </c>
      <c r="I73" s="8">
        <v>2158905</v>
      </c>
      <c r="J73" s="9">
        <v>54000</v>
      </c>
      <c r="K73" s="10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</row>
    <row r="74" spans="1:18">
      <c r="A74" t="s">
        <v>565</v>
      </c>
      <c r="B74">
        <v>8025224</v>
      </c>
      <c r="C74" s="6">
        <v>46062.793460648201</v>
      </c>
      <c r="D74" s="7" t="s">
        <v>493</v>
      </c>
      <c r="E74" s="8">
        <v>218</v>
      </c>
      <c r="F74" s="8"/>
      <c r="G74" s="8">
        <v>218</v>
      </c>
      <c r="H74" s="8">
        <v>588.69000000000005</v>
      </c>
      <c r="I74" s="8">
        <v>2060415</v>
      </c>
      <c r="J74" s="9">
        <v>51500</v>
      </c>
      <c r="K74" s="10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</row>
    <row r="75" spans="1:18">
      <c r="A75" t="s">
        <v>566</v>
      </c>
      <c r="B75">
        <v>18752244</v>
      </c>
      <c r="C75" s="6">
        <v>45980.6887615741</v>
      </c>
      <c r="D75" s="7" t="s">
        <v>493</v>
      </c>
      <c r="E75" s="8">
        <v>274</v>
      </c>
      <c r="F75" s="8"/>
      <c r="G75" s="8">
        <v>274</v>
      </c>
      <c r="H75" s="8">
        <v>587.83000000000004</v>
      </c>
      <c r="I75" s="8">
        <v>2057405</v>
      </c>
      <c r="J75" s="9">
        <v>51400</v>
      </c>
      <c r="K75" s="10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</row>
    <row r="76" spans="1:18">
      <c r="A76" t="s">
        <v>567</v>
      </c>
      <c r="B76">
        <v>19303268</v>
      </c>
      <c r="C76" s="6">
        <v>46044.474155092597</v>
      </c>
      <c r="D76" s="7" t="s">
        <v>493</v>
      </c>
      <c r="E76" s="8">
        <v>83</v>
      </c>
      <c r="F76" s="8"/>
      <c r="G76" s="8">
        <v>83</v>
      </c>
      <c r="H76" s="8">
        <v>567.53</v>
      </c>
      <c r="I76" s="8">
        <v>1986355</v>
      </c>
      <c r="J76" s="9">
        <v>49700</v>
      </c>
      <c r="K76" s="10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</row>
    <row r="77" spans="1:18">
      <c r="A77" t="s">
        <v>568</v>
      </c>
      <c r="B77">
        <v>12451424</v>
      </c>
      <c r="C77" s="6">
        <v>46007.439224537004</v>
      </c>
      <c r="D77" s="7" t="s">
        <v>493</v>
      </c>
      <c r="E77" s="8">
        <v>556</v>
      </c>
      <c r="F77" s="8"/>
      <c r="G77" s="8">
        <v>556</v>
      </c>
      <c r="H77" s="8">
        <v>565.46</v>
      </c>
      <c r="I77" s="8">
        <v>1979110</v>
      </c>
      <c r="J77" s="9">
        <v>49500</v>
      </c>
      <c r="K77" s="10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</row>
    <row r="78" spans="1:18">
      <c r="A78" t="s">
        <v>569</v>
      </c>
      <c r="B78">
        <v>7728222</v>
      </c>
      <c r="C78" s="6">
        <v>46046.353912036997</v>
      </c>
      <c r="D78" s="7" t="s">
        <v>493</v>
      </c>
      <c r="E78" s="8">
        <v>842</v>
      </c>
      <c r="F78" s="8"/>
      <c r="G78" s="8">
        <v>842</v>
      </c>
      <c r="H78" s="8">
        <v>563.51</v>
      </c>
      <c r="I78" s="8">
        <v>1972285</v>
      </c>
      <c r="J78" s="9">
        <v>49300</v>
      </c>
      <c r="K78" s="10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</row>
    <row r="79" spans="1:18">
      <c r="A79" t="s">
        <v>570</v>
      </c>
      <c r="B79">
        <v>19618396</v>
      </c>
      <c r="C79" s="6">
        <v>46063.564444444397</v>
      </c>
      <c r="D79" s="7" t="s">
        <v>493</v>
      </c>
      <c r="E79" s="8">
        <v>133</v>
      </c>
      <c r="F79" s="8"/>
      <c r="G79" s="8">
        <v>133</v>
      </c>
      <c r="H79" s="8">
        <v>563.51</v>
      </c>
      <c r="I79" s="8">
        <v>1972285</v>
      </c>
      <c r="J79" s="9">
        <v>49300</v>
      </c>
      <c r="K79" s="10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</row>
    <row r="80" spans="1:18">
      <c r="A80" t="s">
        <v>571</v>
      </c>
      <c r="B80">
        <v>20548777</v>
      </c>
      <c r="C80" s="6">
        <v>46051.352627314802</v>
      </c>
      <c r="D80" s="7" t="s">
        <v>493</v>
      </c>
      <c r="E80" s="8">
        <v>138</v>
      </c>
      <c r="F80" s="8"/>
      <c r="G80" s="8">
        <v>138</v>
      </c>
      <c r="H80" s="8">
        <v>539.80999999999995</v>
      </c>
      <c r="I80" s="8">
        <v>1889335</v>
      </c>
      <c r="J80" s="9">
        <v>47200</v>
      </c>
      <c r="K80" s="10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</row>
    <row r="81" spans="1:18">
      <c r="A81" t="s">
        <v>572</v>
      </c>
      <c r="B81">
        <v>17001465</v>
      </c>
      <c r="C81" s="6">
        <v>46045.950370370403</v>
      </c>
      <c r="D81" s="7" t="s">
        <v>493</v>
      </c>
      <c r="E81" s="8">
        <v>454</v>
      </c>
      <c r="F81" s="8"/>
      <c r="G81" s="8">
        <v>454</v>
      </c>
      <c r="H81" s="8">
        <v>527.54999999999995</v>
      </c>
      <c r="I81" s="8">
        <v>1846425</v>
      </c>
      <c r="J81" s="9">
        <v>46200</v>
      </c>
      <c r="K81" s="10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</row>
    <row r="82" spans="1:18">
      <c r="A82" t="s">
        <v>573</v>
      </c>
      <c r="B82">
        <v>11457472</v>
      </c>
      <c r="C82" s="6">
        <v>46053.589259259301</v>
      </c>
      <c r="D82" s="7" t="s">
        <v>493</v>
      </c>
      <c r="E82" s="8">
        <v>143</v>
      </c>
      <c r="F82" s="8"/>
      <c r="G82" s="8">
        <v>143</v>
      </c>
      <c r="H82" s="8">
        <v>524.97</v>
      </c>
      <c r="I82" s="8">
        <v>1837395</v>
      </c>
      <c r="J82" s="9">
        <v>45900</v>
      </c>
      <c r="K82" s="10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</row>
    <row r="83" spans="1:18">
      <c r="A83" t="s">
        <v>574</v>
      </c>
      <c r="B83">
        <v>16058591</v>
      </c>
      <c r="C83" s="6">
        <v>46046.746874999997</v>
      </c>
      <c r="D83" s="7" t="s">
        <v>493</v>
      </c>
      <c r="E83" s="8">
        <v>117</v>
      </c>
      <c r="F83" s="8"/>
      <c r="G83" s="8">
        <v>117</v>
      </c>
      <c r="H83" s="8">
        <v>524.1</v>
      </c>
      <c r="I83" s="8">
        <v>1834350</v>
      </c>
      <c r="J83" s="9">
        <v>45900</v>
      </c>
      <c r="K83" s="10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</row>
    <row r="84" spans="1:18">
      <c r="A84" t="s">
        <v>575</v>
      </c>
      <c r="B84">
        <v>16550505</v>
      </c>
      <c r="C84" s="6">
        <v>45954.771354166704</v>
      </c>
      <c r="D84" s="7" t="s">
        <v>493</v>
      </c>
      <c r="E84" s="8">
        <v>316</v>
      </c>
      <c r="F84" s="8"/>
      <c r="G84" s="8">
        <v>316</v>
      </c>
      <c r="H84" s="8">
        <v>515.08000000000004</v>
      </c>
      <c r="I84" s="8">
        <v>1802780</v>
      </c>
      <c r="J84" s="9">
        <v>45100</v>
      </c>
      <c r="K84" s="10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</row>
    <row r="85" spans="1:18">
      <c r="A85" t="s">
        <v>576</v>
      </c>
      <c r="B85">
        <v>7785236</v>
      </c>
      <c r="C85" s="6">
        <v>46062.423587963</v>
      </c>
      <c r="D85" s="7" t="s">
        <v>493</v>
      </c>
      <c r="E85" s="8">
        <v>148</v>
      </c>
      <c r="F85" s="8"/>
      <c r="G85" s="8">
        <v>148</v>
      </c>
      <c r="H85" s="8">
        <v>509.38</v>
      </c>
      <c r="I85" s="8">
        <v>1782830</v>
      </c>
      <c r="J85" s="9">
        <v>44600</v>
      </c>
      <c r="K85" s="10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</row>
    <row r="86" spans="1:18">
      <c r="A86" t="s">
        <v>577</v>
      </c>
      <c r="B86">
        <v>8905860</v>
      </c>
      <c r="C86" s="6">
        <v>46015.427650463003</v>
      </c>
      <c r="D86" s="7" t="s">
        <v>493</v>
      </c>
      <c r="E86" s="8">
        <v>257</v>
      </c>
      <c r="F86" s="8"/>
      <c r="G86" s="8">
        <v>257</v>
      </c>
      <c r="H86" s="8">
        <v>509.14</v>
      </c>
      <c r="I86" s="8">
        <v>1781990</v>
      </c>
      <c r="J86" s="9">
        <v>44500</v>
      </c>
      <c r="K86" s="10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</row>
    <row r="87" spans="1:18">
      <c r="A87" t="s">
        <v>578</v>
      </c>
      <c r="B87">
        <v>15423834</v>
      </c>
      <c r="C87" s="6">
        <v>46000.7171296296</v>
      </c>
      <c r="D87" s="7" t="s">
        <v>493</v>
      </c>
      <c r="E87" s="8">
        <v>272</v>
      </c>
      <c r="F87" s="8"/>
      <c r="G87" s="8">
        <v>272</v>
      </c>
      <c r="H87" s="8">
        <v>495.12</v>
      </c>
      <c r="I87" s="8">
        <v>1732920</v>
      </c>
      <c r="J87" s="9">
        <v>43300</v>
      </c>
      <c r="K87" s="10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</row>
    <row r="88" spans="1:18">
      <c r="A88" t="s">
        <v>579</v>
      </c>
      <c r="B88">
        <v>17372030</v>
      </c>
      <c r="C88" s="6">
        <v>45999.660150463002</v>
      </c>
      <c r="D88" s="7" t="s">
        <v>493</v>
      </c>
      <c r="E88" s="8">
        <v>430</v>
      </c>
      <c r="F88" s="8"/>
      <c r="G88" s="8">
        <v>430</v>
      </c>
      <c r="H88" s="8">
        <v>490.97</v>
      </c>
      <c r="I88" s="8">
        <v>1718395</v>
      </c>
      <c r="J88" s="9">
        <v>43000</v>
      </c>
      <c r="K88" s="10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</row>
    <row r="89" spans="1:18">
      <c r="A89" t="s">
        <v>580</v>
      </c>
      <c r="B89">
        <v>17972289</v>
      </c>
      <c r="C89" s="6">
        <v>46052.631041666697</v>
      </c>
      <c r="D89" s="7" t="s">
        <v>493</v>
      </c>
      <c r="E89" s="8">
        <v>177</v>
      </c>
      <c r="F89" s="8"/>
      <c r="G89" s="8">
        <v>177</v>
      </c>
      <c r="H89" s="8">
        <v>489.41</v>
      </c>
      <c r="I89" s="8">
        <v>1712935</v>
      </c>
      <c r="J89" s="9">
        <v>42800</v>
      </c>
      <c r="K89" s="10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</row>
    <row r="90" spans="1:18">
      <c r="A90" t="s">
        <v>581</v>
      </c>
      <c r="B90">
        <v>11882995</v>
      </c>
      <c r="C90" s="6">
        <v>46023.853206018503</v>
      </c>
      <c r="D90" s="7" t="s">
        <v>493</v>
      </c>
      <c r="E90" s="8">
        <v>407</v>
      </c>
      <c r="F90" s="8"/>
      <c r="G90" s="8">
        <v>407</v>
      </c>
      <c r="H90" s="8">
        <v>485.46</v>
      </c>
      <c r="I90" s="8">
        <v>1699110</v>
      </c>
      <c r="J90" s="9">
        <v>42500</v>
      </c>
      <c r="K90" s="10">
        <v>0</v>
      </c>
      <c r="L90" s="11">
        <v>0</v>
      </c>
      <c r="M90" s="11">
        <v>0.02</v>
      </c>
      <c r="N90" s="11">
        <v>0.02</v>
      </c>
      <c r="O90" s="11">
        <v>0</v>
      </c>
      <c r="P90" s="11">
        <v>0.02</v>
      </c>
      <c r="Q90" s="11">
        <v>0</v>
      </c>
      <c r="R90" s="11">
        <v>0.02</v>
      </c>
    </row>
    <row r="91" spans="1:18">
      <c r="A91" t="s">
        <v>582</v>
      </c>
      <c r="B91">
        <v>8905413</v>
      </c>
      <c r="C91" s="6">
        <v>46017.246643518498</v>
      </c>
      <c r="D91" s="7" t="s">
        <v>493</v>
      </c>
      <c r="E91" s="8">
        <v>169</v>
      </c>
      <c r="F91" s="8"/>
      <c r="G91" s="8">
        <v>169</v>
      </c>
      <c r="H91" s="8">
        <v>470.44</v>
      </c>
      <c r="I91" s="8">
        <v>1646540</v>
      </c>
      <c r="J91" s="9">
        <v>41200</v>
      </c>
      <c r="K91" s="10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</row>
    <row r="92" spans="1:18">
      <c r="A92" t="s">
        <v>583</v>
      </c>
      <c r="B92">
        <v>5160352</v>
      </c>
      <c r="C92" s="6">
        <v>46044.200219907398</v>
      </c>
      <c r="D92" s="7" t="s">
        <v>493</v>
      </c>
      <c r="E92" s="8">
        <v>98</v>
      </c>
      <c r="F92" s="8"/>
      <c r="G92" s="8">
        <v>98</v>
      </c>
      <c r="H92" s="8">
        <v>467.27</v>
      </c>
      <c r="I92" s="8">
        <v>1635445</v>
      </c>
      <c r="J92" s="9">
        <v>40900</v>
      </c>
      <c r="K92" s="10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</row>
    <row r="93" spans="1:18">
      <c r="A93" t="s">
        <v>584</v>
      </c>
      <c r="B93">
        <v>8000703</v>
      </c>
      <c r="C93" s="6">
        <v>46010.3039699074</v>
      </c>
      <c r="D93" s="7" t="s">
        <v>493</v>
      </c>
      <c r="E93" s="8">
        <v>213</v>
      </c>
      <c r="F93" s="8"/>
      <c r="G93" s="8">
        <v>213</v>
      </c>
      <c r="H93" s="8">
        <v>464.87</v>
      </c>
      <c r="I93" s="8">
        <v>1627045</v>
      </c>
      <c r="J93" s="9">
        <v>40700</v>
      </c>
      <c r="K93" s="10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</row>
    <row r="94" spans="1:18">
      <c r="A94" t="s">
        <v>585</v>
      </c>
      <c r="B94">
        <v>12960889</v>
      </c>
      <c r="C94" s="6">
        <v>46029.965925925899</v>
      </c>
      <c r="D94" s="7" t="s">
        <v>493</v>
      </c>
      <c r="E94" s="8">
        <v>105</v>
      </c>
      <c r="F94" s="8"/>
      <c r="G94" s="8">
        <v>105</v>
      </c>
      <c r="H94" s="8">
        <v>455.41</v>
      </c>
      <c r="I94" s="8">
        <v>1593935</v>
      </c>
      <c r="J94" s="9">
        <v>39800</v>
      </c>
      <c r="K94" s="10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</row>
    <row r="95" spans="1:18">
      <c r="A95" t="s">
        <v>586</v>
      </c>
      <c r="B95">
        <v>16869154</v>
      </c>
      <c r="C95" s="6">
        <v>46033.549444444398</v>
      </c>
      <c r="D95" s="7" t="s">
        <v>493</v>
      </c>
      <c r="E95" s="8">
        <v>110</v>
      </c>
      <c r="F95" s="8"/>
      <c r="G95" s="8">
        <v>110</v>
      </c>
      <c r="H95" s="8">
        <v>452.89</v>
      </c>
      <c r="I95" s="8">
        <v>1585115</v>
      </c>
      <c r="J95" s="9">
        <v>39600</v>
      </c>
      <c r="K95" s="10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</row>
    <row r="96" spans="1:18">
      <c r="A96" t="s">
        <v>587</v>
      </c>
      <c r="B96">
        <v>16771435</v>
      </c>
      <c r="C96" s="6">
        <v>46049.203807870399</v>
      </c>
      <c r="D96" s="7" t="s">
        <v>493</v>
      </c>
      <c r="E96" s="8">
        <v>108</v>
      </c>
      <c r="F96" s="8"/>
      <c r="G96" s="8">
        <v>108</v>
      </c>
      <c r="H96" s="8">
        <v>448.61</v>
      </c>
      <c r="I96" s="8">
        <v>1570135</v>
      </c>
      <c r="J96" s="9">
        <v>39300</v>
      </c>
      <c r="K96" s="10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</row>
    <row r="97" spans="1:18">
      <c r="A97" t="s">
        <v>588</v>
      </c>
      <c r="B97">
        <v>18460113</v>
      </c>
      <c r="C97" s="6">
        <v>46057.300625000003</v>
      </c>
      <c r="D97" s="7" t="s">
        <v>493</v>
      </c>
      <c r="E97" s="8">
        <v>129</v>
      </c>
      <c r="F97" s="8"/>
      <c r="G97" s="8">
        <v>129</v>
      </c>
      <c r="H97" s="8">
        <v>448.38</v>
      </c>
      <c r="I97" s="8">
        <v>1569330</v>
      </c>
      <c r="J97" s="9">
        <v>39200</v>
      </c>
      <c r="K97" s="10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</row>
    <row r="98" spans="1:18">
      <c r="A98" t="s">
        <v>589</v>
      </c>
      <c r="B98">
        <v>11065715</v>
      </c>
      <c r="C98" s="6">
        <v>46054.337268518502</v>
      </c>
      <c r="D98" s="7" t="s">
        <v>493</v>
      </c>
      <c r="E98" s="8">
        <v>132</v>
      </c>
      <c r="F98" s="8"/>
      <c r="G98" s="8">
        <v>132</v>
      </c>
      <c r="H98" s="8">
        <v>441.24</v>
      </c>
      <c r="I98" s="8">
        <v>1544340</v>
      </c>
      <c r="J98" s="9">
        <v>38600</v>
      </c>
      <c r="K98" s="10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</row>
    <row r="99" spans="1:18">
      <c r="A99" t="s">
        <v>590</v>
      </c>
      <c r="B99">
        <v>8930333</v>
      </c>
      <c r="C99" s="6">
        <v>46068.471203703702</v>
      </c>
      <c r="D99" s="7" t="s">
        <v>493</v>
      </c>
      <c r="E99" s="8">
        <v>215</v>
      </c>
      <c r="F99" s="8"/>
      <c r="G99" s="8">
        <v>215</v>
      </c>
      <c r="H99" s="8">
        <v>434.02</v>
      </c>
      <c r="I99" s="8">
        <v>1519070</v>
      </c>
      <c r="J99" s="9">
        <v>38000</v>
      </c>
      <c r="K99" s="10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</row>
    <row r="100" spans="1:18">
      <c r="A100" t="s">
        <v>591</v>
      </c>
      <c r="B100">
        <v>4735832</v>
      </c>
      <c r="C100" s="6">
        <v>46069.875891203701</v>
      </c>
      <c r="D100" s="7" t="s">
        <v>493</v>
      </c>
      <c r="E100" s="8">
        <v>85</v>
      </c>
      <c r="F100" s="8"/>
      <c r="G100" s="8">
        <v>85</v>
      </c>
      <c r="H100" s="8">
        <v>429.79</v>
      </c>
      <c r="I100" s="8">
        <v>1504265</v>
      </c>
      <c r="J100" s="9">
        <v>37600</v>
      </c>
      <c r="K100" s="10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</row>
    <row r="101" spans="1:18">
      <c r="A101" t="s">
        <v>592</v>
      </c>
      <c r="B101">
        <v>16811083</v>
      </c>
      <c r="C101" s="6">
        <v>46018.804803240702</v>
      </c>
      <c r="D101" s="7" t="s">
        <v>493</v>
      </c>
      <c r="E101" s="8">
        <v>113</v>
      </c>
      <c r="F101" s="8"/>
      <c r="G101" s="8">
        <v>113</v>
      </c>
      <c r="H101" s="8">
        <v>428.3</v>
      </c>
      <c r="I101" s="8">
        <v>1499050</v>
      </c>
      <c r="J101" s="9">
        <v>37500</v>
      </c>
      <c r="K101" s="10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</row>
    <row r="102" spans="1:18">
      <c r="A102" t="s">
        <v>593</v>
      </c>
      <c r="B102">
        <v>11022983</v>
      </c>
      <c r="C102" s="6">
        <v>45980.265104166698</v>
      </c>
      <c r="D102" s="7" t="s">
        <v>493</v>
      </c>
      <c r="E102" s="8">
        <v>296</v>
      </c>
      <c r="F102" s="8"/>
      <c r="G102" s="8">
        <v>296</v>
      </c>
      <c r="H102" s="8">
        <v>427.37</v>
      </c>
      <c r="I102" s="8">
        <v>1495795</v>
      </c>
      <c r="J102" s="9">
        <v>37400</v>
      </c>
      <c r="K102" s="10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</row>
    <row r="103" spans="1:18">
      <c r="A103" t="s">
        <v>594</v>
      </c>
      <c r="B103">
        <v>19776691</v>
      </c>
      <c r="C103" s="6">
        <v>46000.406909722202</v>
      </c>
      <c r="D103" s="7" t="s">
        <v>493</v>
      </c>
      <c r="E103" s="8">
        <v>352</v>
      </c>
      <c r="F103" s="8"/>
      <c r="G103" s="8">
        <v>352</v>
      </c>
      <c r="H103" s="8">
        <v>418.96</v>
      </c>
      <c r="I103" s="8">
        <v>1466360</v>
      </c>
      <c r="J103" s="9">
        <v>36700</v>
      </c>
      <c r="K103" s="10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</row>
    <row r="104" spans="1:18">
      <c r="A104" t="s">
        <v>595</v>
      </c>
      <c r="B104">
        <v>16010229</v>
      </c>
      <c r="C104" s="6">
        <v>46043.256203703699</v>
      </c>
      <c r="D104" s="7" t="s">
        <v>493</v>
      </c>
      <c r="E104" s="8">
        <v>136</v>
      </c>
      <c r="F104" s="8"/>
      <c r="G104" s="8">
        <v>136</v>
      </c>
      <c r="H104" s="8">
        <v>418.01</v>
      </c>
      <c r="I104" s="8">
        <v>1463035</v>
      </c>
      <c r="J104" s="9">
        <v>36600</v>
      </c>
      <c r="K104" s="10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</row>
    <row r="105" spans="1:18">
      <c r="A105" t="s">
        <v>596</v>
      </c>
      <c r="B105">
        <v>16769306</v>
      </c>
      <c r="C105" s="6">
        <v>46024.469768518502</v>
      </c>
      <c r="D105" s="7" t="s">
        <v>493</v>
      </c>
      <c r="E105" s="8">
        <v>167</v>
      </c>
      <c r="F105" s="8"/>
      <c r="G105" s="8">
        <v>167</v>
      </c>
      <c r="H105" s="8">
        <v>409.56</v>
      </c>
      <c r="I105" s="8">
        <v>1433460</v>
      </c>
      <c r="J105" s="9">
        <v>35800</v>
      </c>
      <c r="K105" s="10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</row>
    <row r="106" spans="1:18">
      <c r="A106" t="s">
        <v>597</v>
      </c>
      <c r="B106">
        <v>18096337</v>
      </c>
      <c r="C106" s="6">
        <v>46062.218090277798</v>
      </c>
      <c r="D106" s="7" t="s">
        <v>493</v>
      </c>
      <c r="E106" s="8">
        <v>296</v>
      </c>
      <c r="F106" s="8"/>
      <c r="G106" s="8">
        <v>296</v>
      </c>
      <c r="H106" s="8">
        <v>405.19</v>
      </c>
      <c r="I106" s="8">
        <v>1418165</v>
      </c>
      <c r="J106" s="9">
        <v>35500</v>
      </c>
      <c r="K106" s="10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</row>
    <row r="107" spans="1:18">
      <c r="A107" t="s">
        <v>598</v>
      </c>
      <c r="B107">
        <v>18819668</v>
      </c>
      <c r="C107" s="6">
        <v>45970.801377314798</v>
      </c>
      <c r="D107" s="7" t="s">
        <v>493</v>
      </c>
      <c r="E107" s="8">
        <v>352</v>
      </c>
      <c r="F107" s="8"/>
      <c r="G107" s="8">
        <v>352</v>
      </c>
      <c r="H107" s="8">
        <v>400.89</v>
      </c>
      <c r="I107" s="8">
        <v>1403115</v>
      </c>
      <c r="J107" s="9">
        <v>35100</v>
      </c>
      <c r="K107" s="10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</row>
    <row r="108" spans="1:18">
      <c r="A108" t="s">
        <v>599</v>
      </c>
      <c r="B108">
        <v>19964946</v>
      </c>
      <c r="C108" s="6">
        <v>46030.941956018498</v>
      </c>
      <c r="D108" s="7" t="s">
        <v>493</v>
      </c>
      <c r="E108" s="8">
        <v>99</v>
      </c>
      <c r="F108" s="8"/>
      <c r="G108" s="8">
        <v>99</v>
      </c>
      <c r="H108" s="8">
        <v>398.51</v>
      </c>
      <c r="I108" s="8">
        <v>1394785</v>
      </c>
      <c r="J108" s="9">
        <v>34900</v>
      </c>
      <c r="K108" s="10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</row>
    <row r="109" spans="1:18">
      <c r="A109" t="s">
        <v>600</v>
      </c>
      <c r="B109">
        <v>12837449</v>
      </c>
      <c r="C109" s="6">
        <v>46016.533009259299</v>
      </c>
      <c r="D109" s="7" t="s">
        <v>493</v>
      </c>
      <c r="E109" s="8">
        <v>150</v>
      </c>
      <c r="F109" s="8"/>
      <c r="G109" s="8">
        <v>150</v>
      </c>
      <c r="H109" s="8">
        <v>393.79</v>
      </c>
      <c r="I109" s="8">
        <v>1378265</v>
      </c>
      <c r="J109" s="9">
        <v>34500</v>
      </c>
      <c r="K109" s="10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</row>
    <row r="110" spans="1:18">
      <c r="A110" t="s">
        <v>601</v>
      </c>
      <c r="B110">
        <v>15357696</v>
      </c>
      <c r="C110" s="6">
        <v>46023.762314814798</v>
      </c>
      <c r="D110" s="7" t="s">
        <v>493</v>
      </c>
      <c r="E110" s="8">
        <v>107</v>
      </c>
      <c r="F110" s="8"/>
      <c r="G110" s="8">
        <v>107</v>
      </c>
      <c r="H110" s="8">
        <v>393.62</v>
      </c>
      <c r="I110" s="8">
        <v>1377670</v>
      </c>
      <c r="J110" s="9">
        <v>34400</v>
      </c>
      <c r="K110" s="10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</row>
    <row r="111" spans="1:18">
      <c r="A111" t="s">
        <v>602</v>
      </c>
      <c r="B111">
        <v>19656019</v>
      </c>
      <c r="C111" s="6">
        <v>45992.192222222198</v>
      </c>
      <c r="D111" s="7" t="s">
        <v>493</v>
      </c>
      <c r="E111" s="8">
        <v>107</v>
      </c>
      <c r="F111" s="8"/>
      <c r="G111" s="8">
        <v>107</v>
      </c>
      <c r="H111" s="8">
        <v>391.83</v>
      </c>
      <c r="I111" s="8">
        <v>1371405</v>
      </c>
      <c r="J111" s="9">
        <v>34300</v>
      </c>
      <c r="K111" s="10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</row>
    <row r="112" spans="1:18">
      <c r="A112" t="s">
        <v>603</v>
      </c>
      <c r="B112">
        <v>5890796</v>
      </c>
      <c r="C112" s="6">
        <v>46030.110462962999</v>
      </c>
      <c r="D112" s="7" t="s">
        <v>493</v>
      </c>
      <c r="E112" s="8">
        <v>109</v>
      </c>
      <c r="F112" s="8"/>
      <c r="G112" s="8">
        <v>109</v>
      </c>
      <c r="H112" s="8">
        <v>389.82</v>
      </c>
      <c r="I112" s="8">
        <v>1364370</v>
      </c>
      <c r="J112" s="9">
        <v>34100</v>
      </c>
      <c r="K112" s="10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</row>
    <row r="113" spans="1:18">
      <c r="A113" t="s">
        <v>604</v>
      </c>
      <c r="B113">
        <v>18002039</v>
      </c>
      <c r="C113" s="6">
        <v>46029.344629629602</v>
      </c>
      <c r="D113" s="7" t="s">
        <v>493</v>
      </c>
      <c r="E113" s="8">
        <v>107</v>
      </c>
      <c r="F113" s="8"/>
      <c r="G113" s="8">
        <v>107</v>
      </c>
      <c r="H113" s="8">
        <v>380.15</v>
      </c>
      <c r="I113" s="8">
        <v>1330525</v>
      </c>
      <c r="J113" s="9">
        <v>33300</v>
      </c>
      <c r="K113" s="10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</row>
    <row r="114" spans="1:18">
      <c r="A114" t="s">
        <v>605</v>
      </c>
      <c r="B114">
        <v>10640695</v>
      </c>
      <c r="C114" s="6">
        <v>46049.148148148102</v>
      </c>
      <c r="D114" s="7" t="s">
        <v>493</v>
      </c>
      <c r="E114" s="8">
        <v>74</v>
      </c>
      <c r="F114" s="8"/>
      <c r="G114" s="8">
        <v>74</v>
      </c>
      <c r="H114" s="8">
        <v>380.15</v>
      </c>
      <c r="I114" s="8">
        <v>1330525</v>
      </c>
      <c r="J114" s="9">
        <v>33300</v>
      </c>
      <c r="K114" s="10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</row>
    <row r="115" spans="1:18">
      <c r="A115" t="s">
        <v>606</v>
      </c>
      <c r="B115">
        <v>18675131</v>
      </c>
      <c r="C115" s="6">
        <v>46028.312881944403</v>
      </c>
      <c r="D115" s="7" t="s">
        <v>493</v>
      </c>
      <c r="E115" s="8">
        <v>179</v>
      </c>
      <c r="F115" s="8"/>
      <c r="G115" s="8">
        <v>179</v>
      </c>
      <c r="H115" s="8">
        <v>377.81</v>
      </c>
      <c r="I115" s="8">
        <v>1322335</v>
      </c>
      <c r="J115" s="9">
        <v>33100</v>
      </c>
      <c r="K115" s="10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</row>
    <row r="116" spans="1:18">
      <c r="A116" t="s">
        <v>607</v>
      </c>
      <c r="B116">
        <v>9146166</v>
      </c>
      <c r="C116" s="6">
        <v>46023.420081018499</v>
      </c>
      <c r="D116" s="7" t="s">
        <v>493</v>
      </c>
      <c r="E116" s="8">
        <v>104</v>
      </c>
      <c r="F116" s="8"/>
      <c r="G116" s="8">
        <v>104</v>
      </c>
      <c r="H116" s="8">
        <v>371.32</v>
      </c>
      <c r="I116" s="8">
        <v>1299620</v>
      </c>
      <c r="J116" s="9">
        <v>32500</v>
      </c>
      <c r="K116" s="10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</row>
    <row r="117" spans="1:18">
      <c r="A117" t="s">
        <v>608</v>
      </c>
      <c r="B117">
        <v>20280375</v>
      </c>
      <c r="C117" s="6">
        <v>46017.510416666701</v>
      </c>
      <c r="D117" s="7" t="s">
        <v>493</v>
      </c>
      <c r="E117" s="8">
        <v>134</v>
      </c>
      <c r="F117" s="8"/>
      <c r="G117" s="8">
        <v>134</v>
      </c>
      <c r="H117" s="8">
        <v>371.13</v>
      </c>
      <c r="I117" s="8">
        <v>1298955</v>
      </c>
      <c r="J117" s="9">
        <v>32500</v>
      </c>
      <c r="K117" s="10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</row>
    <row r="118" spans="1:18">
      <c r="A118" t="s">
        <v>609</v>
      </c>
      <c r="B118">
        <v>19534949</v>
      </c>
      <c r="C118" s="6">
        <v>46054.902453703697</v>
      </c>
      <c r="D118" s="7" t="s">
        <v>493</v>
      </c>
      <c r="E118" s="8">
        <v>93</v>
      </c>
      <c r="F118" s="8"/>
      <c r="G118" s="8">
        <v>93</v>
      </c>
      <c r="H118" s="8">
        <v>371.01</v>
      </c>
      <c r="I118" s="8">
        <v>1298535</v>
      </c>
      <c r="J118" s="9">
        <v>32500</v>
      </c>
      <c r="K118" s="10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</row>
    <row r="119" spans="1:18">
      <c r="A119" t="s">
        <v>610</v>
      </c>
      <c r="B119">
        <v>16690863</v>
      </c>
      <c r="C119" s="6">
        <v>45938.794189814798</v>
      </c>
      <c r="D119" s="7" t="s">
        <v>493</v>
      </c>
      <c r="E119" s="8">
        <v>81</v>
      </c>
      <c r="F119" s="8"/>
      <c r="G119" s="8">
        <v>81</v>
      </c>
      <c r="H119" s="8">
        <v>365.98</v>
      </c>
      <c r="I119" s="8">
        <v>1280930</v>
      </c>
      <c r="J119" s="9">
        <v>32000</v>
      </c>
      <c r="K119" s="10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</row>
    <row r="120" spans="1:18">
      <c r="A120" t="s">
        <v>611</v>
      </c>
      <c r="B120">
        <v>16410278</v>
      </c>
      <c r="C120" s="6">
        <v>45964.605497685203</v>
      </c>
      <c r="D120" s="7" t="s">
        <v>493</v>
      </c>
      <c r="E120" s="8">
        <v>144</v>
      </c>
      <c r="F120" s="8"/>
      <c r="G120" s="8">
        <v>144</v>
      </c>
      <c r="H120" s="8">
        <v>365.05</v>
      </c>
      <c r="I120" s="8">
        <v>1277675</v>
      </c>
      <c r="J120" s="9">
        <v>31900</v>
      </c>
      <c r="K120" s="10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</row>
    <row r="121" spans="1:18">
      <c r="A121" t="s">
        <v>612</v>
      </c>
      <c r="B121">
        <v>18731660</v>
      </c>
      <c r="C121" s="6">
        <v>45976.646296296298</v>
      </c>
      <c r="D121" s="7" t="s">
        <v>493</v>
      </c>
      <c r="E121" s="8">
        <v>201</v>
      </c>
      <c r="F121" s="8"/>
      <c r="G121" s="8">
        <v>201</v>
      </c>
      <c r="H121" s="8">
        <v>361.17</v>
      </c>
      <c r="I121" s="8">
        <v>1264095</v>
      </c>
      <c r="J121" s="9">
        <v>31600</v>
      </c>
      <c r="K121" s="10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</row>
    <row r="122" spans="1:18">
      <c r="A122" t="s">
        <v>613</v>
      </c>
      <c r="B122">
        <v>19543787</v>
      </c>
      <c r="C122" s="6">
        <v>46069.380231481497</v>
      </c>
      <c r="D122" s="7" t="s">
        <v>493</v>
      </c>
      <c r="E122" s="8">
        <v>291</v>
      </c>
      <c r="F122" s="8"/>
      <c r="G122" s="8">
        <v>291</v>
      </c>
      <c r="H122" s="8">
        <v>358.74</v>
      </c>
      <c r="I122" s="8">
        <v>1255590</v>
      </c>
      <c r="J122" s="9">
        <v>31400</v>
      </c>
      <c r="K122" s="10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</row>
    <row r="123" spans="1:18">
      <c r="A123" t="s">
        <v>614</v>
      </c>
      <c r="B123">
        <v>18359745</v>
      </c>
      <c r="C123" s="6">
        <v>46043.537569444401</v>
      </c>
      <c r="D123" s="7" t="s">
        <v>493</v>
      </c>
      <c r="E123" s="8">
        <v>91</v>
      </c>
      <c r="F123" s="8"/>
      <c r="G123" s="8">
        <v>91</v>
      </c>
      <c r="H123" s="8">
        <v>346.19</v>
      </c>
      <c r="I123" s="8">
        <v>1211665</v>
      </c>
      <c r="J123" s="9">
        <v>30300</v>
      </c>
      <c r="K123" s="10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</row>
    <row r="124" spans="1:18">
      <c r="A124" t="s">
        <v>615</v>
      </c>
      <c r="B124">
        <v>18543120</v>
      </c>
      <c r="C124" s="6">
        <v>45992.5640740741</v>
      </c>
      <c r="D124" s="7" t="s">
        <v>493</v>
      </c>
      <c r="E124" s="8">
        <v>134</v>
      </c>
      <c r="F124" s="8"/>
      <c r="G124" s="8">
        <v>134</v>
      </c>
      <c r="H124" s="8">
        <v>345.26</v>
      </c>
      <c r="I124" s="8">
        <v>1208410</v>
      </c>
      <c r="J124" s="9">
        <v>30200</v>
      </c>
      <c r="K124" s="10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</row>
    <row r="125" spans="1:18">
      <c r="A125" t="s">
        <v>616</v>
      </c>
      <c r="B125">
        <v>14260439</v>
      </c>
      <c r="C125" s="6">
        <v>46005.215717592597</v>
      </c>
      <c r="D125" s="7" t="s">
        <v>493</v>
      </c>
      <c r="E125" s="8">
        <v>730</v>
      </c>
      <c r="F125" s="8"/>
      <c r="G125" s="8">
        <v>730</v>
      </c>
      <c r="H125" s="8">
        <v>340.21</v>
      </c>
      <c r="I125" s="8">
        <v>1190735</v>
      </c>
      <c r="J125" s="9">
        <v>29800</v>
      </c>
      <c r="K125" s="10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</row>
    <row r="126" spans="1:18">
      <c r="A126" t="s">
        <v>617</v>
      </c>
      <c r="B126">
        <v>8668774</v>
      </c>
      <c r="C126" s="6">
        <v>46063.5343055556</v>
      </c>
      <c r="D126" s="7" t="s">
        <v>493</v>
      </c>
      <c r="E126" s="8">
        <v>188</v>
      </c>
      <c r="F126" s="8"/>
      <c r="G126" s="8">
        <v>188</v>
      </c>
      <c r="H126" s="8">
        <v>338.4</v>
      </c>
      <c r="I126" s="8">
        <v>1184400</v>
      </c>
      <c r="J126" s="9">
        <v>29600</v>
      </c>
      <c r="K126" s="10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</row>
    <row r="127" spans="1:18">
      <c r="A127" t="s">
        <v>618</v>
      </c>
      <c r="B127">
        <v>18725011</v>
      </c>
      <c r="C127" s="6">
        <v>46063.2469444444</v>
      </c>
      <c r="D127" s="7" t="s">
        <v>493</v>
      </c>
      <c r="E127" s="8">
        <v>106</v>
      </c>
      <c r="F127" s="8"/>
      <c r="G127" s="8">
        <v>106</v>
      </c>
      <c r="H127" s="8">
        <v>338.14</v>
      </c>
      <c r="I127" s="8">
        <v>1183490</v>
      </c>
      <c r="J127" s="9">
        <v>29600</v>
      </c>
      <c r="K127" s="10">
        <v>1</v>
      </c>
      <c r="L127" s="11">
        <v>3.35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</row>
    <row r="128" spans="1:18">
      <c r="A128" t="s">
        <v>619</v>
      </c>
      <c r="B128">
        <v>18815479</v>
      </c>
      <c r="C128" s="6">
        <v>46053.834201388898</v>
      </c>
      <c r="D128" s="7" t="s">
        <v>493</v>
      </c>
      <c r="E128" s="8">
        <v>179</v>
      </c>
      <c r="F128" s="8"/>
      <c r="G128" s="8">
        <v>179</v>
      </c>
      <c r="H128" s="8">
        <v>337.89</v>
      </c>
      <c r="I128" s="8">
        <v>1182615</v>
      </c>
      <c r="J128" s="9">
        <v>29600</v>
      </c>
      <c r="K128" s="10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</row>
    <row r="129" spans="1:18">
      <c r="A129" t="s">
        <v>620</v>
      </c>
      <c r="B129">
        <v>17861010</v>
      </c>
      <c r="C129" s="6">
        <v>46059.7198726852</v>
      </c>
      <c r="D129" s="7" t="s">
        <v>493</v>
      </c>
      <c r="E129" s="8">
        <v>132</v>
      </c>
      <c r="F129" s="8"/>
      <c r="G129" s="8">
        <v>132</v>
      </c>
      <c r="H129" s="8">
        <v>335.52</v>
      </c>
      <c r="I129" s="8">
        <v>1174320</v>
      </c>
      <c r="J129" s="9">
        <v>29400</v>
      </c>
      <c r="K129" s="10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</row>
    <row r="130" spans="1:18">
      <c r="A130" t="s">
        <v>621</v>
      </c>
      <c r="B130">
        <v>7850820</v>
      </c>
      <c r="C130" s="6">
        <v>45983.6621296296</v>
      </c>
      <c r="D130" s="7" t="s">
        <v>493</v>
      </c>
      <c r="E130" s="8">
        <v>104</v>
      </c>
      <c r="F130" s="8"/>
      <c r="G130" s="8">
        <v>104</v>
      </c>
      <c r="H130" s="8">
        <v>335.18</v>
      </c>
      <c r="I130" s="8">
        <v>1173130</v>
      </c>
      <c r="J130" s="9">
        <v>29300</v>
      </c>
      <c r="K130" s="10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</row>
    <row r="131" spans="1:18">
      <c r="A131" t="s">
        <v>622</v>
      </c>
      <c r="B131">
        <v>19757797</v>
      </c>
      <c r="C131" s="6">
        <v>46049.460405092599</v>
      </c>
      <c r="D131" s="7" t="s">
        <v>493</v>
      </c>
      <c r="E131" s="8">
        <v>94</v>
      </c>
      <c r="F131" s="8"/>
      <c r="G131" s="8">
        <v>94</v>
      </c>
      <c r="H131" s="8">
        <v>333.66</v>
      </c>
      <c r="I131" s="8">
        <v>1167810</v>
      </c>
      <c r="J131" s="9">
        <v>29200</v>
      </c>
      <c r="K131" s="10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</row>
    <row r="132" spans="1:18">
      <c r="A132" t="s">
        <v>623</v>
      </c>
      <c r="B132">
        <v>19239080</v>
      </c>
      <c r="C132" s="6">
        <v>46047.834097222199</v>
      </c>
      <c r="D132" s="7" t="s">
        <v>493</v>
      </c>
      <c r="E132" s="8">
        <v>114</v>
      </c>
      <c r="F132" s="8"/>
      <c r="G132" s="8">
        <v>114</v>
      </c>
      <c r="H132" s="8">
        <v>329.66</v>
      </c>
      <c r="I132" s="8">
        <v>1153810</v>
      </c>
      <c r="J132" s="9">
        <v>28800</v>
      </c>
      <c r="K132" s="10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</row>
    <row r="133" spans="1:18">
      <c r="A133" t="s">
        <v>624</v>
      </c>
      <c r="B133">
        <v>20431431</v>
      </c>
      <c r="C133" s="6">
        <v>46024.733900462998</v>
      </c>
      <c r="D133" s="7" t="s">
        <v>493</v>
      </c>
      <c r="E133" s="8">
        <v>286</v>
      </c>
      <c r="F133" s="8"/>
      <c r="G133" s="8">
        <v>286</v>
      </c>
      <c r="H133" s="8">
        <v>322.68</v>
      </c>
      <c r="I133" s="8">
        <v>1129380</v>
      </c>
      <c r="J133" s="9">
        <v>28200</v>
      </c>
      <c r="K133" s="10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</row>
    <row r="134" spans="1:18">
      <c r="A134" t="s">
        <v>625</v>
      </c>
      <c r="B134">
        <v>18786478</v>
      </c>
      <c r="C134" s="6">
        <v>46032.548483796301</v>
      </c>
      <c r="D134" s="7" t="s">
        <v>493</v>
      </c>
      <c r="E134" s="8">
        <v>181</v>
      </c>
      <c r="F134" s="8"/>
      <c r="G134" s="8">
        <v>181</v>
      </c>
      <c r="H134" s="8">
        <v>322.62</v>
      </c>
      <c r="I134" s="8">
        <v>1129170</v>
      </c>
      <c r="J134" s="9">
        <v>28200</v>
      </c>
      <c r="K134" s="10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</row>
    <row r="135" spans="1:18">
      <c r="A135" t="s">
        <v>626</v>
      </c>
      <c r="B135">
        <v>16684531</v>
      </c>
      <c r="C135" s="6">
        <v>46008.478275463</v>
      </c>
      <c r="D135" s="7" t="s">
        <v>493</v>
      </c>
      <c r="E135" s="8">
        <v>377</v>
      </c>
      <c r="F135" s="8"/>
      <c r="G135" s="8">
        <v>377</v>
      </c>
      <c r="H135" s="8">
        <v>321.33999999999997</v>
      </c>
      <c r="I135" s="8">
        <v>1124690</v>
      </c>
      <c r="J135" s="9">
        <v>28100</v>
      </c>
      <c r="K135" s="10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</row>
    <row r="136" spans="1:18">
      <c r="A136" t="s">
        <v>627</v>
      </c>
      <c r="B136">
        <v>17141744</v>
      </c>
      <c r="C136" s="6">
        <v>45950.366238425901</v>
      </c>
      <c r="D136" s="7" t="s">
        <v>493</v>
      </c>
      <c r="E136" s="8">
        <v>100</v>
      </c>
      <c r="F136" s="8"/>
      <c r="G136" s="8">
        <v>100</v>
      </c>
      <c r="H136" s="8">
        <v>318.56</v>
      </c>
      <c r="I136" s="8">
        <v>1114960</v>
      </c>
      <c r="J136" s="9">
        <v>27900</v>
      </c>
      <c r="K136" s="10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</row>
    <row r="137" spans="1:18">
      <c r="A137" t="s">
        <v>628</v>
      </c>
      <c r="B137">
        <v>17813034</v>
      </c>
      <c r="C137" s="6">
        <v>46009.610474537003</v>
      </c>
      <c r="D137" s="7" t="s">
        <v>493</v>
      </c>
      <c r="E137" s="8">
        <v>180</v>
      </c>
      <c r="F137" s="8"/>
      <c r="G137" s="8">
        <v>180</v>
      </c>
      <c r="H137" s="8">
        <v>316.81</v>
      </c>
      <c r="I137" s="8">
        <v>1108835</v>
      </c>
      <c r="J137" s="9">
        <v>27700</v>
      </c>
      <c r="K137" s="10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</row>
    <row r="138" spans="1:18">
      <c r="A138" t="s">
        <v>629</v>
      </c>
      <c r="B138">
        <v>20584968</v>
      </c>
      <c r="C138" s="6">
        <v>46066.476956018501</v>
      </c>
      <c r="D138" s="7" t="s">
        <v>493</v>
      </c>
      <c r="E138" s="8">
        <v>111</v>
      </c>
      <c r="F138" s="8"/>
      <c r="G138" s="8">
        <v>111</v>
      </c>
      <c r="H138" s="8">
        <v>315.98</v>
      </c>
      <c r="I138" s="8">
        <v>1105930</v>
      </c>
      <c r="J138" s="9">
        <v>27600</v>
      </c>
      <c r="K138" s="10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</row>
    <row r="139" spans="1:18">
      <c r="A139" t="s">
        <v>630</v>
      </c>
      <c r="B139">
        <v>18933197</v>
      </c>
      <c r="C139" s="6">
        <v>46002.648958333302</v>
      </c>
      <c r="D139" s="7" t="s">
        <v>493</v>
      </c>
      <c r="E139" s="8">
        <v>123</v>
      </c>
      <c r="F139" s="8"/>
      <c r="G139" s="8">
        <v>123</v>
      </c>
      <c r="H139" s="8">
        <v>314.69</v>
      </c>
      <c r="I139" s="8">
        <v>1101415</v>
      </c>
      <c r="J139" s="9">
        <v>27500</v>
      </c>
      <c r="K139" s="10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</row>
    <row r="140" spans="1:18">
      <c r="A140" t="s">
        <v>631</v>
      </c>
      <c r="B140">
        <v>17853525</v>
      </c>
      <c r="C140" s="6">
        <v>46006.858506944402</v>
      </c>
      <c r="D140" s="7" t="s">
        <v>493</v>
      </c>
      <c r="E140" s="8">
        <v>378</v>
      </c>
      <c r="F140" s="8"/>
      <c r="G140" s="8">
        <v>378</v>
      </c>
      <c r="H140" s="8">
        <v>313.7</v>
      </c>
      <c r="I140" s="8">
        <v>1097950</v>
      </c>
      <c r="J140" s="9">
        <v>27400</v>
      </c>
      <c r="K140" s="10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</row>
    <row r="141" spans="1:18">
      <c r="A141" t="s">
        <v>632</v>
      </c>
      <c r="B141">
        <v>16013300</v>
      </c>
      <c r="C141" s="6">
        <v>46054.693888888898</v>
      </c>
      <c r="D141" s="7" t="s">
        <v>493</v>
      </c>
      <c r="E141" s="8">
        <v>104</v>
      </c>
      <c r="F141" s="8"/>
      <c r="G141" s="8">
        <v>104</v>
      </c>
      <c r="H141" s="8">
        <v>309.29000000000002</v>
      </c>
      <c r="I141" s="8">
        <v>1082515</v>
      </c>
      <c r="J141" s="9">
        <v>27100</v>
      </c>
      <c r="K141" s="10">
        <v>1</v>
      </c>
      <c r="L141" s="11">
        <v>2.04</v>
      </c>
      <c r="M141" s="11">
        <v>9.3800000000000008</v>
      </c>
      <c r="N141" s="11">
        <v>2.02</v>
      </c>
      <c r="O141" s="11">
        <v>0.26</v>
      </c>
      <c r="P141" s="11">
        <v>9.1199999999999992</v>
      </c>
      <c r="Q141" s="11">
        <v>0.26</v>
      </c>
      <c r="R141" s="11">
        <v>1.76</v>
      </c>
    </row>
    <row r="142" spans="1:18">
      <c r="A142" t="s">
        <v>633</v>
      </c>
      <c r="B142">
        <v>20279747</v>
      </c>
      <c r="C142" s="6">
        <v>46035.4139236111</v>
      </c>
      <c r="D142" s="7" t="s">
        <v>493</v>
      </c>
      <c r="E142" s="8">
        <v>97</v>
      </c>
      <c r="F142" s="8"/>
      <c r="G142" s="8">
        <v>97</v>
      </c>
      <c r="H142" s="8">
        <v>303.87</v>
      </c>
      <c r="I142" s="8">
        <v>1063545</v>
      </c>
      <c r="J142" s="9">
        <v>26600</v>
      </c>
      <c r="K142" s="10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</row>
    <row r="143" spans="1:18">
      <c r="A143" t="s">
        <v>634</v>
      </c>
      <c r="B143">
        <v>12293605</v>
      </c>
      <c r="C143" s="6">
        <v>46069.8230555556</v>
      </c>
      <c r="D143" s="7" t="s">
        <v>493</v>
      </c>
      <c r="E143" s="8">
        <v>114</v>
      </c>
      <c r="F143" s="8"/>
      <c r="G143" s="8">
        <v>114</v>
      </c>
      <c r="H143" s="8">
        <v>302.32</v>
      </c>
      <c r="I143" s="8">
        <v>1058120</v>
      </c>
      <c r="J143" s="9">
        <v>26500</v>
      </c>
      <c r="K143" s="10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</row>
    <row r="144" spans="1:18">
      <c r="A144" t="s">
        <v>635</v>
      </c>
      <c r="B144">
        <v>18907215</v>
      </c>
      <c r="C144" s="6">
        <v>46029.550069444398</v>
      </c>
      <c r="D144" s="7" t="s">
        <v>493</v>
      </c>
      <c r="E144" s="8">
        <v>81</v>
      </c>
      <c r="F144" s="8"/>
      <c r="G144" s="8">
        <v>81</v>
      </c>
      <c r="H144" s="8">
        <v>300.41000000000003</v>
      </c>
      <c r="I144" s="8">
        <v>1051435</v>
      </c>
      <c r="J144" s="9">
        <v>26300</v>
      </c>
      <c r="K144" s="10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</row>
    <row r="145" spans="1:18">
      <c r="A145" t="s">
        <v>636</v>
      </c>
      <c r="B145">
        <v>14398483</v>
      </c>
      <c r="C145" s="6">
        <v>46005.586261574099</v>
      </c>
      <c r="D145" s="7" t="s">
        <v>493</v>
      </c>
      <c r="E145" s="8">
        <v>197</v>
      </c>
      <c r="F145" s="8"/>
      <c r="G145" s="8">
        <v>197</v>
      </c>
      <c r="H145" s="8">
        <v>299.52</v>
      </c>
      <c r="I145" s="8">
        <v>1048320</v>
      </c>
      <c r="J145" s="9">
        <v>26200</v>
      </c>
      <c r="K145" s="10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</row>
    <row r="146" spans="1:18">
      <c r="A146" t="s">
        <v>637</v>
      </c>
      <c r="B146">
        <v>19228032</v>
      </c>
      <c r="C146" s="6">
        <v>45988.312534722201</v>
      </c>
      <c r="D146" s="7" t="s">
        <v>493</v>
      </c>
      <c r="E146" s="8">
        <v>186</v>
      </c>
      <c r="F146" s="8"/>
      <c r="G146" s="8">
        <v>186</v>
      </c>
      <c r="H146" s="8">
        <v>291.43</v>
      </c>
      <c r="I146" s="8">
        <v>1020005</v>
      </c>
      <c r="J146" s="9">
        <v>25500</v>
      </c>
      <c r="K146" s="10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</row>
    <row r="147" spans="1:18">
      <c r="A147" t="s">
        <v>638</v>
      </c>
      <c r="B147">
        <v>20174124</v>
      </c>
      <c r="C147" s="6">
        <v>46019.496805555602</v>
      </c>
      <c r="D147" s="7" t="s">
        <v>493</v>
      </c>
      <c r="E147" s="8">
        <v>78</v>
      </c>
      <c r="F147" s="8"/>
      <c r="G147" s="8">
        <v>78</v>
      </c>
      <c r="H147" s="8">
        <v>290.13</v>
      </c>
      <c r="I147" s="8">
        <v>1015455</v>
      </c>
      <c r="J147" s="9">
        <v>25400</v>
      </c>
      <c r="K147" s="10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</row>
    <row r="148" spans="1:18">
      <c r="A148" t="s">
        <v>639</v>
      </c>
      <c r="B148">
        <v>18927080</v>
      </c>
      <c r="C148" s="6">
        <v>46018.721944444398</v>
      </c>
      <c r="D148" s="7" t="s">
        <v>493</v>
      </c>
      <c r="E148" s="8">
        <v>105</v>
      </c>
      <c r="F148" s="8"/>
      <c r="G148" s="8">
        <v>105</v>
      </c>
      <c r="H148" s="8">
        <v>287.44</v>
      </c>
      <c r="I148" s="8">
        <v>1006040</v>
      </c>
      <c r="J148" s="9">
        <v>25200</v>
      </c>
      <c r="K148" s="10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</row>
    <row r="149" spans="1:18">
      <c r="A149" t="s">
        <v>640</v>
      </c>
      <c r="B149">
        <v>20142629</v>
      </c>
      <c r="C149" s="6">
        <v>46027.723032407397</v>
      </c>
      <c r="D149" s="7" t="s">
        <v>493</v>
      </c>
      <c r="E149" s="8">
        <v>85</v>
      </c>
      <c r="F149" s="8"/>
      <c r="G149" s="8">
        <v>85</v>
      </c>
      <c r="H149" s="8">
        <v>286.08</v>
      </c>
      <c r="I149" s="8">
        <v>1001280</v>
      </c>
      <c r="J149" s="9">
        <v>25000</v>
      </c>
      <c r="K149" s="10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</row>
    <row r="150" spans="1:18">
      <c r="A150" t="s">
        <v>641</v>
      </c>
      <c r="B150">
        <v>14251220</v>
      </c>
      <c r="C150" s="6">
        <v>46059.610833333303</v>
      </c>
      <c r="D150" s="7" t="s">
        <v>493</v>
      </c>
      <c r="E150" s="8">
        <v>126</v>
      </c>
      <c r="F150" s="8"/>
      <c r="G150" s="8">
        <v>126</v>
      </c>
      <c r="H150" s="8">
        <v>282.73</v>
      </c>
      <c r="I150" s="8">
        <v>989555</v>
      </c>
      <c r="J150" s="9">
        <v>24700</v>
      </c>
      <c r="K150" s="10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</row>
    <row r="151" spans="1:18">
      <c r="A151" t="s">
        <v>642</v>
      </c>
      <c r="B151">
        <v>20360049</v>
      </c>
      <c r="C151" s="6">
        <v>46030.344687500001</v>
      </c>
      <c r="D151" s="7" t="s">
        <v>493</v>
      </c>
      <c r="E151" s="8">
        <v>210</v>
      </c>
      <c r="F151" s="8"/>
      <c r="G151" s="8">
        <v>210</v>
      </c>
      <c r="H151" s="8">
        <v>270.88</v>
      </c>
      <c r="I151" s="8">
        <v>948080</v>
      </c>
      <c r="J151" s="9">
        <v>23700</v>
      </c>
      <c r="K151" s="10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</row>
    <row r="152" spans="1:18">
      <c r="A152" t="s">
        <v>643</v>
      </c>
      <c r="B152">
        <v>6973500</v>
      </c>
      <c r="C152" s="6">
        <v>46021.264583333301</v>
      </c>
      <c r="D152" s="7" t="s">
        <v>493</v>
      </c>
      <c r="E152" s="8">
        <v>88</v>
      </c>
      <c r="F152" s="8"/>
      <c r="G152" s="8">
        <v>88</v>
      </c>
      <c r="H152" s="8">
        <v>270.10000000000002</v>
      </c>
      <c r="I152" s="8">
        <v>945350</v>
      </c>
      <c r="J152" s="9">
        <v>23600</v>
      </c>
      <c r="K152" s="10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</row>
    <row r="153" spans="1:18">
      <c r="A153" t="s">
        <v>644</v>
      </c>
      <c r="B153">
        <v>16507047</v>
      </c>
      <c r="C153" s="6">
        <v>46066.884629629603</v>
      </c>
      <c r="D153" s="7" t="s">
        <v>493</v>
      </c>
      <c r="E153" s="8">
        <v>166</v>
      </c>
      <c r="F153" s="8"/>
      <c r="G153" s="8">
        <v>166</v>
      </c>
      <c r="H153" s="8">
        <v>269.06</v>
      </c>
      <c r="I153" s="8">
        <v>941710</v>
      </c>
      <c r="J153" s="9">
        <v>23500</v>
      </c>
      <c r="K153" s="10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</row>
    <row r="154" spans="1:18">
      <c r="A154" t="s">
        <v>645</v>
      </c>
      <c r="B154">
        <v>13536164</v>
      </c>
      <c r="C154" s="6">
        <v>45998.333622685197</v>
      </c>
      <c r="D154" s="7" t="s">
        <v>493</v>
      </c>
      <c r="E154" s="8">
        <v>304</v>
      </c>
      <c r="F154" s="8"/>
      <c r="G154" s="8">
        <v>304</v>
      </c>
      <c r="H154" s="8">
        <v>267.35000000000002</v>
      </c>
      <c r="I154" s="8">
        <v>935725</v>
      </c>
      <c r="J154" s="9">
        <v>23400</v>
      </c>
      <c r="K154" s="10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</row>
    <row r="155" spans="1:18">
      <c r="A155" t="s">
        <v>646</v>
      </c>
      <c r="B155">
        <v>17979970</v>
      </c>
      <c r="C155" s="6">
        <v>46031.2829166667</v>
      </c>
      <c r="D155" s="7" t="s">
        <v>493</v>
      </c>
      <c r="E155" s="8">
        <v>110</v>
      </c>
      <c r="F155" s="8"/>
      <c r="G155" s="8">
        <v>110</v>
      </c>
      <c r="H155" s="8">
        <v>262.37</v>
      </c>
      <c r="I155" s="8">
        <v>918295</v>
      </c>
      <c r="J155" s="9">
        <v>23000</v>
      </c>
      <c r="K155" s="10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</row>
    <row r="156" spans="1:18">
      <c r="A156" t="s">
        <v>647</v>
      </c>
      <c r="B156">
        <v>17483062</v>
      </c>
      <c r="C156" s="6">
        <v>46053.577326388899</v>
      </c>
      <c r="D156" s="7" t="s">
        <v>493</v>
      </c>
      <c r="E156" s="8">
        <v>104</v>
      </c>
      <c r="F156" s="8"/>
      <c r="G156" s="8">
        <v>104</v>
      </c>
      <c r="H156" s="8">
        <v>262.26</v>
      </c>
      <c r="I156" s="8">
        <v>917910</v>
      </c>
      <c r="J156" s="9">
        <v>22900</v>
      </c>
      <c r="K156" s="10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</row>
    <row r="157" spans="1:18">
      <c r="A157" t="s">
        <v>648</v>
      </c>
      <c r="B157">
        <v>18023777</v>
      </c>
      <c r="C157" s="6">
        <v>45952.598460648202</v>
      </c>
      <c r="D157" s="7" t="s">
        <v>493</v>
      </c>
      <c r="E157" s="8">
        <v>1738</v>
      </c>
      <c r="F157" s="8"/>
      <c r="G157" s="8">
        <v>1738</v>
      </c>
      <c r="H157" s="8">
        <v>259.92</v>
      </c>
      <c r="I157" s="8">
        <v>909720</v>
      </c>
      <c r="J157" s="9">
        <v>22700</v>
      </c>
      <c r="K157" s="10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</row>
    <row r="158" spans="1:18">
      <c r="A158" t="s">
        <v>649</v>
      </c>
      <c r="B158">
        <v>16755812</v>
      </c>
      <c r="C158" s="6">
        <v>46051.407430555599</v>
      </c>
      <c r="D158" s="7" t="s">
        <v>493</v>
      </c>
      <c r="E158" s="8">
        <v>118</v>
      </c>
      <c r="F158" s="8"/>
      <c r="G158" s="8">
        <v>118</v>
      </c>
      <c r="H158" s="8">
        <v>259.85000000000002</v>
      </c>
      <c r="I158" s="8">
        <v>909475</v>
      </c>
      <c r="J158" s="9">
        <v>22700</v>
      </c>
      <c r="K158" s="10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</row>
    <row r="159" spans="1:18">
      <c r="A159" t="s">
        <v>650</v>
      </c>
      <c r="B159">
        <v>20156505</v>
      </c>
      <c r="C159" s="6">
        <v>46067.915509259299</v>
      </c>
      <c r="D159" s="7" t="s">
        <v>493</v>
      </c>
      <c r="E159" s="8">
        <v>80</v>
      </c>
      <c r="F159" s="8"/>
      <c r="G159" s="8">
        <v>80</v>
      </c>
      <c r="H159" s="8">
        <v>256.86</v>
      </c>
      <c r="I159" s="8">
        <v>899010</v>
      </c>
      <c r="J159" s="9">
        <v>22500</v>
      </c>
      <c r="K159" s="10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</row>
    <row r="160" spans="1:18">
      <c r="A160" t="s">
        <v>651</v>
      </c>
      <c r="B160">
        <v>19123413</v>
      </c>
      <c r="C160" s="6">
        <v>46008.720254629603</v>
      </c>
      <c r="D160" s="7" t="s">
        <v>493</v>
      </c>
      <c r="E160" s="8">
        <v>81</v>
      </c>
      <c r="F160" s="8"/>
      <c r="G160" s="8">
        <v>81</v>
      </c>
      <c r="H160" s="8">
        <v>255.52</v>
      </c>
      <c r="I160" s="8">
        <v>894320</v>
      </c>
      <c r="J160" s="9">
        <v>22400</v>
      </c>
      <c r="K160" s="10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</row>
    <row r="161" spans="1:18">
      <c r="A161" t="s">
        <v>652</v>
      </c>
      <c r="B161">
        <v>16069969</v>
      </c>
      <c r="C161" s="6">
        <v>46066.642453703702</v>
      </c>
      <c r="D161" s="7" t="s">
        <v>493</v>
      </c>
      <c r="E161" s="8">
        <v>285</v>
      </c>
      <c r="F161" s="8"/>
      <c r="G161" s="8">
        <v>285</v>
      </c>
      <c r="H161" s="8">
        <v>252.99</v>
      </c>
      <c r="I161" s="8">
        <v>885465</v>
      </c>
      <c r="J161" s="9">
        <v>22100</v>
      </c>
      <c r="K161" s="10">
        <v>1</v>
      </c>
      <c r="L161" s="11">
        <v>3.53</v>
      </c>
      <c r="M161" s="11">
        <v>44.42</v>
      </c>
      <c r="N161" s="11">
        <v>3.53</v>
      </c>
      <c r="O161" s="11">
        <v>0.01</v>
      </c>
      <c r="P161" s="11">
        <v>44.41</v>
      </c>
      <c r="Q161" s="11">
        <v>0.01</v>
      </c>
      <c r="R161" s="11">
        <v>3.52</v>
      </c>
    </row>
    <row r="162" spans="1:18">
      <c r="A162" t="s">
        <v>653</v>
      </c>
      <c r="B162">
        <v>18442527</v>
      </c>
      <c r="C162" s="6">
        <v>46025.755277777796</v>
      </c>
      <c r="D162" s="7" t="s">
        <v>493</v>
      </c>
      <c r="E162" s="8">
        <v>155</v>
      </c>
      <c r="F162" s="8"/>
      <c r="G162" s="8">
        <v>155</v>
      </c>
      <c r="H162" s="8">
        <v>252.71</v>
      </c>
      <c r="I162" s="8">
        <v>884485</v>
      </c>
      <c r="J162" s="9">
        <v>22100</v>
      </c>
      <c r="K162" s="10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</row>
    <row r="163" spans="1:18">
      <c r="A163" t="s">
        <v>654</v>
      </c>
      <c r="B163">
        <v>15244518</v>
      </c>
      <c r="C163" s="6">
        <v>46058.790439814802</v>
      </c>
      <c r="D163" s="7" t="s">
        <v>493</v>
      </c>
      <c r="E163" s="8">
        <v>181</v>
      </c>
      <c r="F163" s="8"/>
      <c r="G163" s="8">
        <v>181</v>
      </c>
      <c r="H163" s="8">
        <v>251.2</v>
      </c>
      <c r="I163" s="8">
        <v>879200</v>
      </c>
      <c r="J163" s="9">
        <v>22000</v>
      </c>
      <c r="K163" s="10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</row>
    <row r="164" spans="1:18">
      <c r="A164" t="s">
        <v>655</v>
      </c>
      <c r="B164">
        <v>16409085</v>
      </c>
      <c r="C164" s="6">
        <v>46005.410833333299</v>
      </c>
      <c r="D164" s="7" t="s">
        <v>493</v>
      </c>
      <c r="E164" s="8">
        <v>188</v>
      </c>
      <c r="F164" s="8"/>
      <c r="G164" s="8">
        <v>188</v>
      </c>
      <c r="H164" s="8">
        <v>250.08</v>
      </c>
      <c r="I164" s="8">
        <v>875280</v>
      </c>
      <c r="J164" s="9">
        <v>21900</v>
      </c>
      <c r="K164" s="10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</row>
    <row r="165" spans="1:18">
      <c r="A165" t="s">
        <v>656</v>
      </c>
      <c r="B165">
        <v>910161</v>
      </c>
      <c r="C165" s="6">
        <v>46014.253356481502</v>
      </c>
      <c r="D165" s="7" t="s">
        <v>493</v>
      </c>
      <c r="E165" s="8">
        <v>133</v>
      </c>
      <c r="F165" s="8"/>
      <c r="G165" s="8">
        <v>133</v>
      </c>
      <c r="H165" s="8">
        <v>247.42</v>
      </c>
      <c r="I165" s="8">
        <v>865970</v>
      </c>
      <c r="J165" s="9">
        <v>21600</v>
      </c>
      <c r="K165" s="10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</row>
    <row r="166" spans="1:18">
      <c r="A166" t="s">
        <v>657</v>
      </c>
      <c r="B166">
        <v>10462468</v>
      </c>
      <c r="C166" s="6">
        <v>46045.692291666703</v>
      </c>
      <c r="D166" s="7" t="s">
        <v>493</v>
      </c>
      <c r="E166" s="8">
        <v>93</v>
      </c>
      <c r="F166" s="8"/>
      <c r="G166" s="8">
        <v>93</v>
      </c>
      <c r="H166" s="8">
        <v>246.49</v>
      </c>
      <c r="I166" s="8">
        <v>862715</v>
      </c>
      <c r="J166" s="9">
        <v>21600</v>
      </c>
      <c r="K166" s="10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</row>
    <row r="167" spans="1:18">
      <c r="A167" t="s">
        <v>658</v>
      </c>
      <c r="B167">
        <v>17053577</v>
      </c>
      <c r="C167" s="6">
        <v>46024.623055555603</v>
      </c>
      <c r="D167" s="7" t="s">
        <v>493</v>
      </c>
      <c r="E167" s="8">
        <v>103</v>
      </c>
      <c r="F167" s="8"/>
      <c r="G167" s="8">
        <v>103</v>
      </c>
      <c r="H167" s="8">
        <v>241.77</v>
      </c>
      <c r="I167" s="8">
        <v>846195</v>
      </c>
      <c r="J167" s="9">
        <v>21200</v>
      </c>
      <c r="K167" s="10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</row>
    <row r="168" spans="1:18">
      <c r="A168" t="s">
        <v>659</v>
      </c>
      <c r="B168">
        <v>20542555</v>
      </c>
      <c r="C168" s="6">
        <v>46028.477442129602</v>
      </c>
      <c r="D168" s="7" t="s">
        <v>493</v>
      </c>
      <c r="E168" s="8">
        <v>137</v>
      </c>
      <c r="F168" s="8"/>
      <c r="G168" s="8">
        <v>137</v>
      </c>
      <c r="H168" s="8">
        <v>241.34</v>
      </c>
      <c r="I168" s="8">
        <v>844690</v>
      </c>
      <c r="J168" s="9">
        <v>21100</v>
      </c>
      <c r="K168" s="10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</row>
    <row r="169" spans="1:18">
      <c r="A169" t="s">
        <v>660</v>
      </c>
      <c r="B169">
        <v>10436561</v>
      </c>
      <c r="C169" s="6">
        <v>46044.933576388903</v>
      </c>
      <c r="D169" s="7" t="s">
        <v>493</v>
      </c>
      <c r="E169" s="8">
        <v>89</v>
      </c>
      <c r="F169" s="8"/>
      <c r="G169" s="8">
        <v>89</v>
      </c>
      <c r="H169" s="8">
        <v>240.98</v>
      </c>
      <c r="I169" s="8">
        <v>843430</v>
      </c>
      <c r="J169" s="9">
        <v>21100</v>
      </c>
      <c r="K169" s="10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</row>
    <row r="170" spans="1:18">
      <c r="A170" t="s">
        <v>661</v>
      </c>
      <c r="B170">
        <v>17941011</v>
      </c>
      <c r="C170" s="6">
        <v>46056.964097222197</v>
      </c>
      <c r="D170" s="7" t="s">
        <v>493</v>
      </c>
      <c r="E170" s="8">
        <v>93</v>
      </c>
      <c r="F170" s="8"/>
      <c r="G170" s="8">
        <v>93</v>
      </c>
      <c r="H170" s="8">
        <v>239.46</v>
      </c>
      <c r="I170" s="8">
        <v>838110</v>
      </c>
      <c r="J170" s="9">
        <v>21000</v>
      </c>
      <c r="K170" s="10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</row>
    <row r="171" spans="1:18">
      <c r="A171" t="s">
        <v>662</v>
      </c>
      <c r="B171">
        <v>9634479</v>
      </c>
      <c r="C171" s="6">
        <v>46032.741886574098</v>
      </c>
      <c r="D171" s="7" t="s">
        <v>493</v>
      </c>
      <c r="E171" s="8">
        <v>111</v>
      </c>
      <c r="F171" s="8"/>
      <c r="G171" s="8">
        <v>111</v>
      </c>
      <c r="H171" s="8">
        <v>239.19</v>
      </c>
      <c r="I171" s="8">
        <v>837165</v>
      </c>
      <c r="J171" s="9">
        <v>20900</v>
      </c>
      <c r="K171" s="10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</row>
    <row r="172" spans="1:18">
      <c r="A172" t="s">
        <v>663</v>
      </c>
      <c r="B172">
        <v>5136951</v>
      </c>
      <c r="C172" s="6">
        <v>46068.534571759301</v>
      </c>
      <c r="D172" s="7" t="s">
        <v>493</v>
      </c>
      <c r="E172" s="8">
        <v>122</v>
      </c>
      <c r="F172" s="8"/>
      <c r="G172" s="8">
        <v>122</v>
      </c>
      <c r="H172" s="8">
        <v>232.47</v>
      </c>
      <c r="I172" s="8">
        <v>813645</v>
      </c>
      <c r="J172" s="9">
        <v>20300</v>
      </c>
      <c r="K172" s="10">
        <v>1</v>
      </c>
      <c r="L172" s="11">
        <v>13.4</v>
      </c>
      <c r="M172" s="11">
        <v>309.77</v>
      </c>
      <c r="N172" s="11">
        <v>-4.63</v>
      </c>
      <c r="O172" s="11">
        <v>0</v>
      </c>
      <c r="P172" s="11">
        <v>309.77</v>
      </c>
      <c r="Q172" s="11">
        <v>0</v>
      </c>
      <c r="R172" s="11">
        <v>-4.63</v>
      </c>
    </row>
    <row r="173" spans="1:18">
      <c r="A173" t="s">
        <v>664</v>
      </c>
      <c r="B173">
        <v>102300</v>
      </c>
      <c r="C173" s="6">
        <v>46049.592187499999</v>
      </c>
      <c r="D173" s="7" t="s">
        <v>493</v>
      </c>
      <c r="E173" s="8">
        <v>164</v>
      </c>
      <c r="F173" s="8"/>
      <c r="G173" s="8">
        <v>164</v>
      </c>
      <c r="H173" s="8">
        <v>229.54</v>
      </c>
      <c r="I173" s="8">
        <v>803390</v>
      </c>
      <c r="J173" s="9">
        <v>20100</v>
      </c>
      <c r="K173" s="10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</row>
    <row r="174" spans="1:18">
      <c r="A174" t="s">
        <v>665</v>
      </c>
      <c r="B174">
        <v>5287148</v>
      </c>
      <c r="C174" s="6">
        <v>46061.312488425901</v>
      </c>
      <c r="D174" s="7" t="s">
        <v>493</v>
      </c>
      <c r="E174" s="8">
        <v>95</v>
      </c>
      <c r="F174" s="8"/>
      <c r="G174" s="8">
        <v>95</v>
      </c>
      <c r="H174" s="8">
        <v>229.3</v>
      </c>
      <c r="I174" s="8">
        <v>802550</v>
      </c>
      <c r="J174" s="9">
        <v>20100</v>
      </c>
      <c r="K174" s="10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</row>
    <row r="175" spans="1:18">
      <c r="A175" t="s">
        <v>666</v>
      </c>
      <c r="B175">
        <v>14867172</v>
      </c>
      <c r="C175" s="6">
        <v>46000.391643518502</v>
      </c>
      <c r="D175" s="7" t="s">
        <v>493</v>
      </c>
      <c r="E175" s="8">
        <v>102</v>
      </c>
      <c r="F175" s="8"/>
      <c r="G175" s="8">
        <v>102</v>
      </c>
      <c r="H175" s="8">
        <v>226.93</v>
      </c>
      <c r="I175" s="8">
        <v>794255</v>
      </c>
      <c r="J175" s="9">
        <v>19900</v>
      </c>
      <c r="K175" s="10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</row>
    <row r="176" spans="1:18">
      <c r="A176" t="s">
        <v>667</v>
      </c>
      <c r="B176">
        <v>18818377</v>
      </c>
      <c r="C176" s="6">
        <v>46005.835879629602</v>
      </c>
      <c r="D176" s="7" t="s">
        <v>493</v>
      </c>
      <c r="E176" s="8">
        <v>85</v>
      </c>
      <c r="F176" s="8"/>
      <c r="G176" s="8">
        <v>85</v>
      </c>
      <c r="H176" s="8">
        <v>223.61</v>
      </c>
      <c r="I176" s="8">
        <v>782635</v>
      </c>
      <c r="J176" s="9">
        <v>19600</v>
      </c>
      <c r="K176" s="10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</row>
    <row r="177" spans="1:18">
      <c r="A177" t="s">
        <v>668</v>
      </c>
      <c r="B177">
        <v>18517842</v>
      </c>
      <c r="C177" s="6">
        <v>46030.860243055598</v>
      </c>
      <c r="D177" s="7" t="s">
        <v>493</v>
      </c>
      <c r="E177" s="8">
        <v>167</v>
      </c>
      <c r="F177" s="8"/>
      <c r="G177" s="8">
        <v>167</v>
      </c>
      <c r="H177" s="8">
        <v>222.68</v>
      </c>
      <c r="I177" s="8">
        <v>779380</v>
      </c>
      <c r="J177" s="9">
        <v>19500</v>
      </c>
      <c r="K177" s="10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</row>
    <row r="178" spans="1:18">
      <c r="A178" t="s">
        <v>669</v>
      </c>
      <c r="B178">
        <v>14716149</v>
      </c>
      <c r="C178" s="6">
        <v>46067.194537037001</v>
      </c>
      <c r="D178" s="7" t="s">
        <v>493</v>
      </c>
      <c r="E178" s="8">
        <v>211</v>
      </c>
      <c r="F178" s="8"/>
      <c r="G178" s="8">
        <v>211</v>
      </c>
      <c r="H178" s="8">
        <v>221.26</v>
      </c>
      <c r="I178" s="8">
        <v>774410</v>
      </c>
      <c r="J178" s="9">
        <v>19400</v>
      </c>
      <c r="K178" s="10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</row>
    <row r="179" spans="1:18">
      <c r="A179" t="s">
        <v>670</v>
      </c>
      <c r="B179">
        <v>16781190</v>
      </c>
      <c r="C179" s="6">
        <v>46067.400462963</v>
      </c>
      <c r="D179" s="7" t="s">
        <v>493</v>
      </c>
      <c r="E179" s="8">
        <v>200</v>
      </c>
      <c r="F179" s="8"/>
      <c r="G179" s="8">
        <v>200</v>
      </c>
      <c r="H179" s="8">
        <v>220.72</v>
      </c>
      <c r="I179" s="8">
        <v>772520</v>
      </c>
      <c r="J179" s="9">
        <v>19300</v>
      </c>
      <c r="K179" s="10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</row>
    <row r="180" spans="1:18">
      <c r="A180" t="s">
        <v>671</v>
      </c>
      <c r="B180">
        <v>7741698</v>
      </c>
      <c r="C180" s="6">
        <v>46054.964143518497</v>
      </c>
      <c r="D180" s="7" t="s">
        <v>493</v>
      </c>
      <c r="E180" s="8">
        <v>223</v>
      </c>
      <c r="F180" s="8"/>
      <c r="G180" s="8">
        <v>223</v>
      </c>
      <c r="H180" s="8">
        <v>219.99</v>
      </c>
      <c r="I180" s="8">
        <v>769965</v>
      </c>
      <c r="J180" s="9">
        <v>19200</v>
      </c>
      <c r="K180" s="10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</row>
    <row r="181" spans="1:18">
      <c r="A181" t="s">
        <v>672</v>
      </c>
      <c r="B181">
        <v>20146685</v>
      </c>
      <c r="C181" s="6">
        <v>46055.799861111103</v>
      </c>
      <c r="D181" s="7" t="s">
        <v>493</v>
      </c>
      <c r="E181" s="8">
        <v>105</v>
      </c>
      <c r="F181" s="8"/>
      <c r="G181" s="8">
        <v>105</v>
      </c>
      <c r="H181" s="8">
        <v>219.07</v>
      </c>
      <c r="I181" s="8">
        <v>766745</v>
      </c>
      <c r="J181" s="9">
        <v>19200</v>
      </c>
      <c r="K181" s="10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</row>
    <row r="182" spans="1:18">
      <c r="A182" t="s">
        <v>673</v>
      </c>
      <c r="B182">
        <v>18282240</v>
      </c>
      <c r="C182" s="6">
        <v>46054.563472222202</v>
      </c>
      <c r="D182" s="7" t="s">
        <v>493</v>
      </c>
      <c r="E182" s="8">
        <v>75</v>
      </c>
      <c r="F182" s="8"/>
      <c r="G182" s="8">
        <v>75</v>
      </c>
      <c r="H182" s="8">
        <v>218.51</v>
      </c>
      <c r="I182" s="8">
        <v>764785</v>
      </c>
      <c r="J182" s="9">
        <v>19100</v>
      </c>
      <c r="K182" s="10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</row>
    <row r="183" spans="1:18">
      <c r="A183" t="s">
        <v>674</v>
      </c>
      <c r="B183">
        <v>16177182</v>
      </c>
      <c r="C183" s="6">
        <v>45940.299004629604</v>
      </c>
      <c r="D183" s="7" t="s">
        <v>493</v>
      </c>
      <c r="E183" s="8">
        <v>100</v>
      </c>
      <c r="F183" s="8"/>
      <c r="G183" s="8">
        <v>100</v>
      </c>
      <c r="H183" s="8">
        <v>218.38</v>
      </c>
      <c r="I183" s="8">
        <v>764330</v>
      </c>
      <c r="J183" s="9">
        <v>19100</v>
      </c>
      <c r="K183" s="10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</row>
    <row r="184" spans="1:18">
      <c r="A184" t="s">
        <v>675</v>
      </c>
      <c r="B184">
        <v>17952047</v>
      </c>
      <c r="C184" s="6">
        <v>46043.2132291667</v>
      </c>
      <c r="D184" s="7" t="s">
        <v>493</v>
      </c>
      <c r="E184" s="8">
        <v>111</v>
      </c>
      <c r="F184" s="8"/>
      <c r="G184" s="8">
        <v>111</v>
      </c>
      <c r="H184" s="8">
        <v>217.61</v>
      </c>
      <c r="I184" s="8">
        <v>761635</v>
      </c>
      <c r="J184" s="9">
        <v>19000</v>
      </c>
      <c r="K184" s="10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</row>
    <row r="185" spans="1:18">
      <c r="A185" t="s">
        <v>676</v>
      </c>
      <c r="B185">
        <v>18216653</v>
      </c>
      <c r="C185" s="6">
        <v>45979.878425925897</v>
      </c>
      <c r="D185" s="7" t="s">
        <v>493</v>
      </c>
      <c r="E185" s="8">
        <v>106</v>
      </c>
      <c r="F185" s="8"/>
      <c r="G185" s="8">
        <v>106</v>
      </c>
      <c r="H185" s="8">
        <v>217.6</v>
      </c>
      <c r="I185" s="8">
        <v>761600</v>
      </c>
      <c r="J185" s="9">
        <v>19000</v>
      </c>
      <c r="K185" s="10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</row>
    <row r="186" spans="1:18">
      <c r="A186" t="s">
        <v>677</v>
      </c>
      <c r="B186">
        <v>18003695</v>
      </c>
      <c r="C186" s="6">
        <v>46034.795115740701</v>
      </c>
      <c r="D186" s="7" t="s">
        <v>493</v>
      </c>
      <c r="E186" s="8">
        <v>174</v>
      </c>
      <c r="F186" s="8"/>
      <c r="G186" s="8">
        <v>174</v>
      </c>
      <c r="H186" s="8">
        <v>215.05</v>
      </c>
      <c r="I186" s="8">
        <v>752675</v>
      </c>
      <c r="J186" s="9">
        <v>18800</v>
      </c>
      <c r="K186" s="10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</row>
    <row r="187" spans="1:18">
      <c r="A187" t="s">
        <v>678</v>
      </c>
      <c r="B187">
        <v>18595143</v>
      </c>
      <c r="C187" s="6">
        <v>46010.840891203698</v>
      </c>
      <c r="D187" s="7" t="s">
        <v>493</v>
      </c>
      <c r="E187" s="8">
        <v>97</v>
      </c>
      <c r="F187" s="8"/>
      <c r="G187" s="8">
        <v>97</v>
      </c>
      <c r="H187" s="8">
        <v>212.89</v>
      </c>
      <c r="I187" s="8">
        <v>745115</v>
      </c>
      <c r="J187" s="9">
        <v>18600</v>
      </c>
      <c r="K187" s="10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</row>
    <row r="188" spans="1:18">
      <c r="A188" t="s">
        <v>679</v>
      </c>
      <c r="B188">
        <v>6090499</v>
      </c>
      <c r="C188" s="6">
        <v>46019.374513888899</v>
      </c>
      <c r="D188" s="7" t="s">
        <v>493</v>
      </c>
      <c r="E188" s="8">
        <v>89</v>
      </c>
      <c r="F188" s="8"/>
      <c r="G188" s="8">
        <v>89</v>
      </c>
      <c r="H188" s="8">
        <v>212.89</v>
      </c>
      <c r="I188" s="8">
        <v>745115</v>
      </c>
      <c r="J188" s="9">
        <v>18600</v>
      </c>
      <c r="K188" s="10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</row>
    <row r="189" spans="1:18">
      <c r="A189" t="s">
        <v>680</v>
      </c>
      <c r="B189">
        <v>13299966</v>
      </c>
      <c r="C189" s="6">
        <v>46024.837442129603</v>
      </c>
      <c r="D189" s="7" t="s">
        <v>493</v>
      </c>
      <c r="E189" s="8">
        <v>268</v>
      </c>
      <c r="F189" s="8"/>
      <c r="G189" s="8">
        <v>268</v>
      </c>
      <c r="H189" s="8">
        <v>210.67</v>
      </c>
      <c r="I189" s="8">
        <v>737345</v>
      </c>
      <c r="J189" s="9">
        <v>18400</v>
      </c>
      <c r="K189" s="10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</row>
    <row r="190" spans="1:18">
      <c r="A190" t="s">
        <v>681</v>
      </c>
      <c r="B190">
        <v>16272508</v>
      </c>
      <c r="C190" s="6">
        <v>46064.229861111096</v>
      </c>
      <c r="D190" s="7" t="s">
        <v>493</v>
      </c>
      <c r="E190" s="8">
        <v>151</v>
      </c>
      <c r="F190" s="8"/>
      <c r="G190" s="8">
        <v>151</v>
      </c>
      <c r="H190" s="8">
        <v>210.61</v>
      </c>
      <c r="I190" s="8">
        <v>737135</v>
      </c>
      <c r="J190" s="9">
        <v>18400</v>
      </c>
      <c r="K190" s="10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</row>
    <row r="191" spans="1:18">
      <c r="A191" t="s">
        <v>682</v>
      </c>
      <c r="B191">
        <v>19136392</v>
      </c>
      <c r="C191" s="6">
        <v>46031.6499652778</v>
      </c>
      <c r="D191" s="7" t="s">
        <v>493</v>
      </c>
      <c r="E191" s="8">
        <v>106</v>
      </c>
      <c r="F191" s="8"/>
      <c r="G191" s="8">
        <v>106</v>
      </c>
      <c r="H191" s="8">
        <v>209.56</v>
      </c>
      <c r="I191" s="8">
        <v>733460</v>
      </c>
      <c r="J191" s="9">
        <v>18300</v>
      </c>
      <c r="K191" s="10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</row>
    <row r="192" spans="1:18">
      <c r="A192" t="s">
        <v>683</v>
      </c>
      <c r="B192">
        <v>6886471</v>
      </c>
      <c r="C192" s="6">
        <v>46020.907743055599</v>
      </c>
      <c r="D192" s="7" t="s">
        <v>493</v>
      </c>
      <c r="E192" s="8">
        <v>223</v>
      </c>
      <c r="F192" s="8"/>
      <c r="G192" s="8">
        <v>223</v>
      </c>
      <c r="H192" s="8">
        <v>208.66</v>
      </c>
      <c r="I192" s="8">
        <v>730310</v>
      </c>
      <c r="J192" s="9">
        <v>18300</v>
      </c>
      <c r="K192" s="10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</row>
    <row r="193" spans="1:18">
      <c r="A193" t="s">
        <v>684</v>
      </c>
      <c r="B193">
        <v>16986819</v>
      </c>
      <c r="C193" s="6">
        <v>46059.201689814799</v>
      </c>
      <c r="D193" s="7" t="s">
        <v>493</v>
      </c>
      <c r="E193" s="8">
        <v>99</v>
      </c>
      <c r="F193" s="8"/>
      <c r="G193" s="8">
        <v>99</v>
      </c>
      <c r="H193" s="8">
        <v>204.49</v>
      </c>
      <c r="I193" s="8">
        <v>715715</v>
      </c>
      <c r="J193" s="9">
        <v>17900</v>
      </c>
      <c r="K193" s="10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</row>
    <row r="194" spans="1:18">
      <c r="A194" t="s">
        <v>685</v>
      </c>
      <c r="B194">
        <v>8203800</v>
      </c>
      <c r="C194" s="6">
        <v>46004.382326388899</v>
      </c>
      <c r="D194" s="7" t="s">
        <v>493</v>
      </c>
      <c r="E194" s="8">
        <v>93</v>
      </c>
      <c r="F194" s="8"/>
      <c r="G194" s="8">
        <v>93</v>
      </c>
      <c r="H194" s="8">
        <v>203.81</v>
      </c>
      <c r="I194" s="8">
        <v>713335</v>
      </c>
      <c r="J194" s="9">
        <v>17800</v>
      </c>
      <c r="K194" s="10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</row>
    <row r="195" spans="1:18">
      <c r="A195" t="s">
        <v>686</v>
      </c>
      <c r="B195">
        <v>17975187</v>
      </c>
      <c r="C195" s="6">
        <v>46022.366747685199</v>
      </c>
      <c r="D195" s="7" t="s">
        <v>493</v>
      </c>
      <c r="E195" s="8">
        <v>193</v>
      </c>
      <c r="F195" s="8"/>
      <c r="G195" s="8">
        <v>193</v>
      </c>
      <c r="H195" s="8">
        <v>202.37</v>
      </c>
      <c r="I195" s="8">
        <v>708295</v>
      </c>
      <c r="J195" s="9">
        <v>17700</v>
      </c>
      <c r="K195" s="10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</row>
    <row r="196" spans="1:18">
      <c r="A196" t="s">
        <v>687</v>
      </c>
      <c r="B196">
        <v>7809020</v>
      </c>
      <c r="C196" s="6">
        <v>46042.901759259301</v>
      </c>
      <c r="D196" s="7" t="s">
        <v>493</v>
      </c>
      <c r="E196" s="8">
        <v>97</v>
      </c>
      <c r="F196" s="8"/>
      <c r="G196" s="8">
        <v>97</v>
      </c>
      <c r="H196" s="8">
        <v>200.73</v>
      </c>
      <c r="I196" s="8">
        <v>702555</v>
      </c>
      <c r="J196" s="9">
        <v>17600</v>
      </c>
      <c r="K196" s="10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</row>
    <row r="197" spans="1:18">
      <c r="A197" t="s">
        <v>688</v>
      </c>
      <c r="B197">
        <v>17953118</v>
      </c>
      <c r="C197" s="6">
        <v>45998.391307870399</v>
      </c>
      <c r="D197" s="7" t="s">
        <v>493</v>
      </c>
      <c r="E197" s="8">
        <v>410</v>
      </c>
      <c r="F197" s="8"/>
      <c r="G197" s="8">
        <v>410</v>
      </c>
      <c r="H197" s="8">
        <v>198.84</v>
      </c>
      <c r="I197" s="8">
        <v>695940</v>
      </c>
      <c r="J197" s="9">
        <v>17400</v>
      </c>
      <c r="K197" s="10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</row>
    <row r="198" spans="1:18">
      <c r="A198" t="s">
        <v>689</v>
      </c>
      <c r="B198">
        <v>20197512</v>
      </c>
      <c r="C198" s="6">
        <v>46025.785856481503</v>
      </c>
      <c r="D198" s="7" t="s">
        <v>493</v>
      </c>
      <c r="E198" s="8">
        <v>102</v>
      </c>
      <c r="F198" s="8"/>
      <c r="G198" s="8">
        <v>102</v>
      </c>
      <c r="H198" s="8">
        <v>198.61</v>
      </c>
      <c r="I198" s="8">
        <v>695135</v>
      </c>
      <c r="J198" s="9">
        <v>17400</v>
      </c>
      <c r="K198" s="10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</row>
    <row r="199" spans="1:18">
      <c r="A199" t="s">
        <v>690</v>
      </c>
      <c r="B199">
        <v>19573066</v>
      </c>
      <c r="C199" s="6">
        <v>46063.549108796302</v>
      </c>
      <c r="D199" s="7" t="s">
        <v>493</v>
      </c>
      <c r="E199" s="8">
        <v>156</v>
      </c>
      <c r="F199" s="8"/>
      <c r="G199" s="8">
        <v>156</v>
      </c>
      <c r="H199" s="8">
        <v>193.45</v>
      </c>
      <c r="I199" s="8">
        <v>677075</v>
      </c>
      <c r="J199" s="9">
        <v>16900</v>
      </c>
      <c r="K199" s="10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</row>
    <row r="200" spans="1:18">
      <c r="A200" t="s">
        <v>691</v>
      </c>
      <c r="B200">
        <v>9592700</v>
      </c>
      <c r="C200" s="6">
        <v>46023.825798611098</v>
      </c>
      <c r="D200" s="7" t="s">
        <v>493</v>
      </c>
      <c r="E200" s="8">
        <v>215</v>
      </c>
      <c r="F200" s="8"/>
      <c r="G200" s="8">
        <v>215</v>
      </c>
      <c r="H200" s="8">
        <v>189.56</v>
      </c>
      <c r="I200" s="8">
        <v>663460</v>
      </c>
      <c r="J200" s="9">
        <v>16600</v>
      </c>
      <c r="K200" s="10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</row>
    <row r="201" spans="1:18">
      <c r="A201" t="s">
        <v>692</v>
      </c>
      <c r="B201">
        <v>18606580</v>
      </c>
      <c r="C201" s="6">
        <v>46025.773877314801</v>
      </c>
      <c r="D201" s="7" t="s">
        <v>493</v>
      </c>
      <c r="E201" s="8">
        <v>108</v>
      </c>
      <c r="F201" s="8"/>
      <c r="G201" s="8">
        <v>108</v>
      </c>
      <c r="H201" s="8">
        <v>186.75</v>
      </c>
      <c r="I201" s="8">
        <v>653625</v>
      </c>
      <c r="J201" s="9">
        <v>16300</v>
      </c>
      <c r="K201" s="10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</row>
    <row r="202" spans="1:18">
      <c r="A202" t="s">
        <v>693</v>
      </c>
      <c r="B202">
        <v>19931818</v>
      </c>
      <c r="C202" s="6">
        <v>46025.2790046296</v>
      </c>
      <c r="D202" s="7" t="s">
        <v>493</v>
      </c>
      <c r="E202" s="8">
        <v>210</v>
      </c>
      <c r="F202" s="8"/>
      <c r="G202" s="8">
        <v>210</v>
      </c>
      <c r="H202" s="8">
        <v>184.28</v>
      </c>
      <c r="I202" s="8">
        <v>644980</v>
      </c>
      <c r="J202" s="9">
        <v>16100</v>
      </c>
      <c r="K202" s="10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</row>
    <row r="203" spans="1:18">
      <c r="A203" t="s">
        <v>694</v>
      </c>
      <c r="B203">
        <v>8060117</v>
      </c>
      <c r="C203" s="6">
        <v>46008.995972222197</v>
      </c>
      <c r="D203" s="7" t="s">
        <v>493</v>
      </c>
      <c r="E203" s="8">
        <v>76</v>
      </c>
      <c r="F203" s="8"/>
      <c r="G203" s="8">
        <v>76</v>
      </c>
      <c r="H203" s="8">
        <v>183.12</v>
      </c>
      <c r="I203" s="8">
        <v>640920</v>
      </c>
      <c r="J203" s="9">
        <v>16000</v>
      </c>
      <c r="K203" s="10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</row>
    <row r="204" spans="1:18">
      <c r="A204" t="s">
        <v>695</v>
      </c>
      <c r="B204">
        <v>9934828</v>
      </c>
      <c r="C204" s="6">
        <v>45982.417534722197</v>
      </c>
      <c r="D204" s="7" t="s">
        <v>493</v>
      </c>
      <c r="E204" s="8">
        <v>112</v>
      </c>
      <c r="F204" s="8"/>
      <c r="G204" s="8">
        <v>112</v>
      </c>
      <c r="H204" s="8">
        <v>181.96</v>
      </c>
      <c r="I204" s="8">
        <v>636860</v>
      </c>
      <c r="J204" s="9">
        <v>15900</v>
      </c>
      <c r="K204" s="10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</row>
    <row r="205" spans="1:18">
      <c r="A205" t="s">
        <v>696</v>
      </c>
      <c r="B205">
        <v>8047479</v>
      </c>
      <c r="C205" s="6">
        <v>46059.811157407399</v>
      </c>
      <c r="D205" s="7" t="s">
        <v>493</v>
      </c>
      <c r="E205" s="8">
        <v>114</v>
      </c>
      <c r="F205" s="8"/>
      <c r="G205" s="8">
        <v>114</v>
      </c>
      <c r="H205" s="8">
        <v>181.68</v>
      </c>
      <c r="I205" s="8">
        <v>635880</v>
      </c>
      <c r="J205" s="9">
        <v>15900</v>
      </c>
      <c r="K205" s="10">
        <v>1</v>
      </c>
      <c r="L205" s="11">
        <v>0.26</v>
      </c>
      <c r="M205" s="11">
        <v>1.53</v>
      </c>
      <c r="N205" s="11">
        <v>0.26</v>
      </c>
      <c r="O205" s="11">
        <v>0</v>
      </c>
      <c r="P205" s="11">
        <v>1.53</v>
      </c>
      <c r="Q205" s="11">
        <v>0</v>
      </c>
      <c r="R205" s="11">
        <v>0.26</v>
      </c>
    </row>
    <row r="206" spans="1:18">
      <c r="A206" t="s">
        <v>697</v>
      </c>
      <c r="B206">
        <v>9732448</v>
      </c>
      <c r="C206" s="6">
        <v>46032.739317129599</v>
      </c>
      <c r="D206" s="7" t="s">
        <v>493</v>
      </c>
      <c r="E206" s="8">
        <v>195</v>
      </c>
      <c r="F206" s="8"/>
      <c r="G206" s="8">
        <v>195</v>
      </c>
      <c r="H206" s="8">
        <v>180.44</v>
      </c>
      <c r="I206" s="8">
        <v>631540</v>
      </c>
      <c r="J206" s="9">
        <v>15800</v>
      </c>
      <c r="K206" s="10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</row>
    <row r="207" spans="1:18">
      <c r="A207" t="s">
        <v>698</v>
      </c>
      <c r="B207">
        <v>18454460</v>
      </c>
      <c r="C207" s="6">
        <v>46042.921527777798</v>
      </c>
      <c r="D207" s="7" t="s">
        <v>493</v>
      </c>
      <c r="E207" s="8">
        <v>79</v>
      </c>
      <c r="F207" s="8"/>
      <c r="G207" s="8">
        <v>79</v>
      </c>
      <c r="H207" s="8">
        <v>175.52</v>
      </c>
      <c r="I207" s="8">
        <v>614320</v>
      </c>
      <c r="J207" s="9">
        <v>15400</v>
      </c>
      <c r="K207" s="10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</row>
    <row r="208" spans="1:18">
      <c r="A208" t="s">
        <v>699</v>
      </c>
      <c r="B208">
        <v>20107005</v>
      </c>
      <c r="C208" s="6">
        <v>46024.493009259299</v>
      </c>
      <c r="D208" s="7" t="s">
        <v>493</v>
      </c>
      <c r="E208" s="8">
        <v>94</v>
      </c>
      <c r="F208" s="8"/>
      <c r="G208" s="8">
        <v>94</v>
      </c>
      <c r="H208" s="8">
        <v>166.13</v>
      </c>
      <c r="I208" s="8">
        <v>581455</v>
      </c>
      <c r="J208" s="9">
        <v>14500</v>
      </c>
      <c r="K208" s="10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</row>
    <row r="209" spans="1:18">
      <c r="A209" t="s">
        <v>700</v>
      </c>
      <c r="B209">
        <v>17894008</v>
      </c>
      <c r="C209" s="6">
        <v>45980.764386574097</v>
      </c>
      <c r="D209" s="7" t="s">
        <v>493</v>
      </c>
      <c r="E209" s="8">
        <v>77</v>
      </c>
      <c r="F209" s="8"/>
      <c r="G209" s="8">
        <v>77</v>
      </c>
      <c r="H209" s="8">
        <v>165.35</v>
      </c>
      <c r="I209" s="8">
        <v>578725</v>
      </c>
      <c r="J209" s="9">
        <v>14500</v>
      </c>
      <c r="K209" s="10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</row>
    <row r="210" spans="1:18">
      <c r="A210" t="s">
        <v>701</v>
      </c>
      <c r="B210">
        <v>7930463</v>
      </c>
      <c r="C210" s="6">
        <v>46065.355752314797</v>
      </c>
      <c r="D210" s="7" t="s">
        <v>493</v>
      </c>
      <c r="E210" s="8">
        <v>137</v>
      </c>
      <c r="F210" s="8"/>
      <c r="G210" s="8">
        <v>137</v>
      </c>
      <c r="H210" s="8">
        <v>162.65</v>
      </c>
      <c r="I210" s="8">
        <v>569275</v>
      </c>
      <c r="J210" s="9">
        <v>14200</v>
      </c>
      <c r="K210" s="10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</row>
    <row r="211" spans="1:18">
      <c r="A211" t="s">
        <v>702</v>
      </c>
      <c r="B211">
        <v>9895809</v>
      </c>
      <c r="C211" s="6">
        <v>46067.593773148103</v>
      </c>
      <c r="D211" s="7" t="s">
        <v>493</v>
      </c>
      <c r="E211" s="8">
        <v>224</v>
      </c>
      <c r="F211" s="8"/>
      <c r="G211" s="8">
        <v>224</v>
      </c>
      <c r="H211" s="8">
        <v>155.22</v>
      </c>
      <c r="I211" s="8">
        <v>543270</v>
      </c>
      <c r="J211" s="9">
        <v>13600</v>
      </c>
      <c r="K211" s="10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</row>
    <row r="212" spans="1:18">
      <c r="A212" t="s">
        <v>703</v>
      </c>
      <c r="B212">
        <v>16729223</v>
      </c>
      <c r="C212" s="6">
        <v>46029.145462963003</v>
      </c>
      <c r="D212" s="7" t="s">
        <v>493</v>
      </c>
      <c r="E212" s="8">
        <v>213</v>
      </c>
      <c r="F212" s="8"/>
      <c r="G212" s="8">
        <v>213</v>
      </c>
      <c r="H212" s="8">
        <v>154.12</v>
      </c>
      <c r="I212" s="8">
        <v>539420</v>
      </c>
      <c r="J212" s="9">
        <v>13500</v>
      </c>
      <c r="K212" s="10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</row>
    <row r="213" spans="1:18">
      <c r="A213" t="s">
        <v>704</v>
      </c>
      <c r="B213">
        <v>20251808</v>
      </c>
      <c r="C213" s="6">
        <v>46060.479918981502</v>
      </c>
      <c r="D213" s="7" t="s">
        <v>493</v>
      </c>
      <c r="E213" s="8">
        <v>76</v>
      </c>
      <c r="F213" s="8"/>
      <c r="G213" s="8">
        <v>76</v>
      </c>
      <c r="H213" s="8">
        <v>153.87</v>
      </c>
      <c r="I213" s="8">
        <v>538545</v>
      </c>
      <c r="J213" s="9">
        <v>13500</v>
      </c>
      <c r="K213" s="10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</row>
    <row r="214" spans="1:18">
      <c r="A214" t="s">
        <v>705</v>
      </c>
      <c r="B214">
        <v>17053744</v>
      </c>
      <c r="C214" s="6">
        <v>46030.8918402778</v>
      </c>
      <c r="D214" s="7" t="s">
        <v>493</v>
      </c>
      <c r="E214" s="8">
        <v>122</v>
      </c>
      <c r="F214" s="8"/>
      <c r="G214" s="8">
        <v>122</v>
      </c>
      <c r="H214" s="8">
        <v>151.38999999999999</v>
      </c>
      <c r="I214" s="8">
        <v>529865</v>
      </c>
      <c r="J214" s="9">
        <v>13200</v>
      </c>
      <c r="K214" s="10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</row>
    <row r="215" spans="1:18">
      <c r="A215" t="s">
        <v>706</v>
      </c>
      <c r="B215">
        <v>20224502</v>
      </c>
      <c r="C215" s="6">
        <v>46025.987245370401</v>
      </c>
      <c r="D215" s="7" t="s">
        <v>493</v>
      </c>
      <c r="E215" s="8">
        <v>177</v>
      </c>
      <c r="F215" s="8"/>
      <c r="G215" s="8">
        <v>177</v>
      </c>
      <c r="H215" s="8">
        <v>149.59</v>
      </c>
      <c r="I215" s="8">
        <v>523565</v>
      </c>
      <c r="J215" s="9">
        <v>13100</v>
      </c>
      <c r="K215" s="10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</row>
    <row r="216" spans="1:18">
      <c r="A216" t="s">
        <v>707</v>
      </c>
      <c r="B216">
        <v>10710317</v>
      </c>
      <c r="C216" s="6">
        <v>46065.462326388901</v>
      </c>
      <c r="D216" s="7" t="s">
        <v>493</v>
      </c>
      <c r="E216" s="8">
        <v>115</v>
      </c>
      <c r="F216" s="8"/>
      <c r="G216" s="8">
        <v>115</v>
      </c>
      <c r="H216" s="8">
        <v>149.56</v>
      </c>
      <c r="I216" s="8">
        <v>523460</v>
      </c>
      <c r="J216" s="9">
        <v>13100</v>
      </c>
      <c r="K216" s="10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</row>
    <row r="217" spans="1:18">
      <c r="A217" t="s">
        <v>708</v>
      </c>
      <c r="B217">
        <v>17645949</v>
      </c>
      <c r="C217" s="6">
        <v>45933.520891203698</v>
      </c>
      <c r="D217" s="7" t="s">
        <v>493</v>
      </c>
      <c r="E217" s="8">
        <v>447</v>
      </c>
      <c r="F217" s="8"/>
      <c r="G217" s="8">
        <v>447</v>
      </c>
      <c r="H217" s="8">
        <v>148.65</v>
      </c>
      <c r="I217" s="8">
        <v>520275</v>
      </c>
      <c r="J217" s="9">
        <v>13000</v>
      </c>
      <c r="K217" s="10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</row>
    <row r="218" spans="1:18">
      <c r="A218" t="s">
        <v>709</v>
      </c>
      <c r="B218">
        <v>13151996</v>
      </c>
      <c r="C218" s="6">
        <v>46065.389733796299</v>
      </c>
      <c r="D218" s="7" t="s">
        <v>493</v>
      </c>
      <c r="E218" s="8">
        <v>87</v>
      </c>
      <c r="F218" s="8"/>
      <c r="G218" s="8">
        <v>87</v>
      </c>
      <c r="H218" s="8">
        <v>144.63999999999999</v>
      </c>
      <c r="I218" s="8">
        <v>506240</v>
      </c>
      <c r="J218" s="9">
        <v>12700</v>
      </c>
      <c r="K218" s="10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</row>
    <row r="219" spans="1:18">
      <c r="A219" t="s">
        <v>710</v>
      </c>
      <c r="B219">
        <v>19018616</v>
      </c>
      <c r="C219" s="6">
        <v>46058.473124999997</v>
      </c>
      <c r="D219" s="7" t="s">
        <v>493</v>
      </c>
      <c r="E219" s="8">
        <v>164</v>
      </c>
      <c r="F219" s="8"/>
      <c r="G219" s="8">
        <v>164</v>
      </c>
      <c r="H219" s="8">
        <v>143.53</v>
      </c>
      <c r="I219" s="8">
        <v>502355</v>
      </c>
      <c r="J219" s="9">
        <v>12600</v>
      </c>
      <c r="K219" s="10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</row>
    <row r="220" spans="1:18">
      <c r="A220" t="s">
        <v>711</v>
      </c>
      <c r="B220">
        <v>17148343</v>
      </c>
      <c r="C220" s="6">
        <v>46021.858333333301</v>
      </c>
      <c r="D220" s="7" t="s">
        <v>493</v>
      </c>
      <c r="E220" s="8">
        <v>221</v>
      </c>
      <c r="F220" s="8"/>
      <c r="G220" s="8">
        <v>221</v>
      </c>
      <c r="H220" s="8">
        <v>135.97999999999999</v>
      </c>
      <c r="I220" s="8">
        <v>475930</v>
      </c>
      <c r="J220" s="9">
        <v>11900</v>
      </c>
      <c r="K220" s="10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</row>
    <row r="221" spans="1:18">
      <c r="A221" t="s">
        <v>712</v>
      </c>
      <c r="B221">
        <v>16728618</v>
      </c>
      <c r="C221" s="6">
        <v>45981.8114236111</v>
      </c>
      <c r="D221" s="7" t="s">
        <v>493</v>
      </c>
      <c r="E221" s="8">
        <v>80</v>
      </c>
      <c r="F221" s="8"/>
      <c r="G221" s="8">
        <v>80</v>
      </c>
      <c r="H221" s="8">
        <v>134.28</v>
      </c>
      <c r="I221" s="8">
        <v>469980</v>
      </c>
      <c r="J221" s="9">
        <v>11700</v>
      </c>
      <c r="K221" s="10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</row>
    <row r="222" spans="1:18">
      <c r="A222" t="s">
        <v>713</v>
      </c>
      <c r="B222">
        <v>7884873</v>
      </c>
      <c r="C222" s="6">
        <v>46023.327662037002</v>
      </c>
      <c r="D222" s="7" t="s">
        <v>493</v>
      </c>
      <c r="E222" s="8">
        <v>92</v>
      </c>
      <c r="F222" s="8"/>
      <c r="G222" s="8">
        <v>92</v>
      </c>
      <c r="H222" s="8">
        <v>133.61000000000001</v>
      </c>
      <c r="I222" s="8">
        <v>467635</v>
      </c>
      <c r="J222" s="9">
        <v>11700</v>
      </c>
      <c r="K222" s="10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</row>
    <row r="223" spans="1:18">
      <c r="A223" t="s">
        <v>714</v>
      </c>
      <c r="B223">
        <v>19491451</v>
      </c>
      <c r="C223" s="6">
        <v>45977.507326388899</v>
      </c>
      <c r="D223" s="7" t="s">
        <v>493</v>
      </c>
      <c r="E223" s="8">
        <v>76</v>
      </c>
      <c r="F223" s="8"/>
      <c r="G223" s="8">
        <v>76</v>
      </c>
      <c r="H223" s="8">
        <v>133.4</v>
      </c>
      <c r="I223" s="8">
        <v>466900</v>
      </c>
      <c r="J223" s="9">
        <v>11700</v>
      </c>
      <c r="K223" s="10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</row>
    <row r="224" spans="1:18">
      <c r="A224" t="s">
        <v>715</v>
      </c>
      <c r="B224">
        <v>15309139</v>
      </c>
      <c r="C224" s="6">
        <v>46042.397696759297</v>
      </c>
      <c r="D224" s="7" t="s">
        <v>493</v>
      </c>
      <c r="E224" s="8">
        <v>100</v>
      </c>
      <c r="F224" s="8"/>
      <c r="G224" s="8">
        <v>100</v>
      </c>
      <c r="H224" s="8">
        <v>133.12</v>
      </c>
      <c r="I224" s="8">
        <v>465920</v>
      </c>
      <c r="J224" s="9">
        <v>11600</v>
      </c>
      <c r="K224" s="10">
        <v>1</v>
      </c>
      <c r="L224" s="11">
        <v>7.45</v>
      </c>
      <c r="M224" s="11">
        <v>101.91</v>
      </c>
      <c r="N224" s="11">
        <v>7.72</v>
      </c>
      <c r="O224" s="11">
        <v>0</v>
      </c>
      <c r="P224" s="11">
        <v>101.91</v>
      </c>
      <c r="Q224" s="11">
        <v>0</v>
      </c>
      <c r="R224" s="11">
        <v>7.72</v>
      </c>
    </row>
    <row r="225" spans="1:18">
      <c r="A225" t="s">
        <v>716</v>
      </c>
      <c r="B225">
        <v>14233107</v>
      </c>
      <c r="C225" s="6">
        <v>46001.030289351896</v>
      </c>
      <c r="D225" s="7" t="s">
        <v>493</v>
      </c>
      <c r="E225" s="8">
        <v>310</v>
      </c>
      <c r="F225" s="8"/>
      <c r="G225" s="8">
        <v>310</v>
      </c>
      <c r="H225" s="8">
        <v>132.72999999999999</v>
      </c>
      <c r="I225" s="8">
        <v>464555</v>
      </c>
      <c r="J225" s="9">
        <v>11600</v>
      </c>
      <c r="K225" s="10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</row>
    <row r="226" spans="1:18">
      <c r="A226" t="s">
        <v>717</v>
      </c>
      <c r="B226">
        <v>16062753</v>
      </c>
      <c r="C226" s="6">
        <v>46033.681238425903</v>
      </c>
      <c r="D226" s="7" t="s">
        <v>493</v>
      </c>
      <c r="E226" s="8">
        <v>82</v>
      </c>
      <c r="F226" s="8"/>
      <c r="G226" s="8">
        <v>82</v>
      </c>
      <c r="H226" s="8">
        <v>131.47</v>
      </c>
      <c r="I226" s="8">
        <v>460145</v>
      </c>
      <c r="J226" s="9">
        <v>11500</v>
      </c>
      <c r="K226" s="10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</row>
    <row r="227" spans="1:18">
      <c r="A227" t="s">
        <v>718</v>
      </c>
      <c r="B227">
        <v>18150543</v>
      </c>
      <c r="C227" s="6">
        <v>46068.891620370399</v>
      </c>
      <c r="D227" s="7" t="s">
        <v>493</v>
      </c>
      <c r="E227" s="8">
        <v>92</v>
      </c>
      <c r="F227" s="8"/>
      <c r="G227" s="8">
        <v>92</v>
      </c>
      <c r="H227" s="8">
        <v>130.28</v>
      </c>
      <c r="I227" s="8">
        <v>455980</v>
      </c>
      <c r="J227" s="9">
        <v>11400</v>
      </c>
      <c r="K227" s="10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</row>
    <row r="228" spans="1:18">
      <c r="A228" t="s">
        <v>719</v>
      </c>
      <c r="B228">
        <v>20289719</v>
      </c>
      <c r="C228" s="6">
        <v>46028.198657407404</v>
      </c>
      <c r="D228" s="7" t="s">
        <v>493</v>
      </c>
      <c r="E228" s="8">
        <v>78</v>
      </c>
      <c r="F228" s="8"/>
      <c r="G228" s="8">
        <v>78</v>
      </c>
      <c r="H228" s="8">
        <v>118.56</v>
      </c>
      <c r="I228" s="8">
        <v>414960</v>
      </c>
      <c r="J228" s="9">
        <v>10400</v>
      </c>
      <c r="K228" s="10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</row>
    <row r="229" spans="1:18">
      <c r="A229" t="s">
        <v>720</v>
      </c>
      <c r="B229">
        <v>13380201</v>
      </c>
      <c r="C229" s="6">
        <v>45951.792025463001</v>
      </c>
      <c r="D229" s="7" t="s">
        <v>493</v>
      </c>
      <c r="E229" s="8">
        <v>101</v>
      </c>
      <c r="F229" s="8"/>
      <c r="G229" s="8">
        <v>101</v>
      </c>
      <c r="H229" s="8">
        <v>115.13</v>
      </c>
      <c r="I229" s="8">
        <v>402955</v>
      </c>
      <c r="J229" s="9">
        <v>10100</v>
      </c>
      <c r="K229" s="10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</row>
    <row r="230" spans="1:18">
      <c r="A230" t="s">
        <v>721</v>
      </c>
      <c r="B230">
        <v>16797439</v>
      </c>
      <c r="C230" s="6">
        <v>46003.473553240699</v>
      </c>
      <c r="D230" s="7" t="s">
        <v>493</v>
      </c>
      <c r="E230" s="8">
        <v>83</v>
      </c>
      <c r="F230" s="8"/>
      <c r="G230" s="8">
        <v>83</v>
      </c>
      <c r="H230" s="8">
        <v>112.95</v>
      </c>
      <c r="I230" s="8">
        <v>395325</v>
      </c>
      <c r="J230" s="9">
        <v>10000</v>
      </c>
      <c r="K230" s="10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</row>
    <row r="231" spans="1:18">
      <c r="A231" t="s">
        <v>722</v>
      </c>
      <c r="B231">
        <v>15229123</v>
      </c>
      <c r="C231" s="6">
        <v>46050.727800925903</v>
      </c>
      <c r="D231" s="7" t="s">
        <v>493</v>
      </c>
      <c r="E231" s="8">
        <v>97</v>
      </c>
      <c r="F231" s="8"/>
      <c r="G231" s="8">
        <v>97</v>
      </c>
      <c r="H231" s="8">
        <v>110.05</v>
      </c>
      <c r="I231" s="8">
        <v>385175</v>
      </c>
      <c r="J231" s="9">
        <v>10000</v>
      </c>
      <c r="K231" s="10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</row>
    <row r="232" spans="1:18">
      <c r="A232" t="s">
        <v>723</v>
      </c>
      <c r="B232">
        <v>19581839</v>
      </c>
      <c r="C232" s="6">
        <v>46060.675972222198</v>
      </c>
      <c r="D232" s="7" t="s">
        <v>493</v>
      </c>
      <c r="E232" s="8">
        <v>75</v>
      </c>
      <c r="F232" s="8"/>
      <c r="G232" s="8">
        <v>75</v>
      </c>
      <c r="H232" s="8">
        <v>109.66</v>
      </c>
      <c r="I232" s="8">
        <v>383810</v>
      </c>
      <c r="J232" s="9">
        <v>10000</v>
      </c>
      <c r="K232" s="10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</row>
    <row r="233" spans="1:18">
      <c r="A233" t="s">
        <v>724</v>
      </c>
      <c r="B233">
        <v>16624335</v>
      </c>
      <c r="C233" s="6">
        <v>45990.703368055598</v>
      </c>
      <c r="D233" s="7" t="s">
        <v>493</v>
      </c>
      <c r="E233" s="8">
        <v>91</v>
      </c>
      <c r="F233" s="8"/>
      <c r="G233" s="8">
        <v>91</v>
      </c>
      <c r="H233" s="8">
        <v>109.54</v>
      </c>
      <c r="I233" s="8">
        <v>383390</v>
      </c>
      <c r="J233" s="9">
        <v>10000</v>
      </c>
      <c r="K233" s="10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</row>
    <row r="234" spans="1:18">
      <c r="A234" t="s">
        <v>725</v>
      </c>
      <c r="B234">
        <v>18009541</v>
      </c>
      <c r="C234" s="6">
        <v>46059.5085300926</v>
      </c>
      <c r="D234" s="7" t="s">
        <v>493</v>
      </c>
      <c r="E234" s="8">
        <v>150</v>
      </c>
      <c r="F234" s="8"/>
      <c r="G234" s="8">
        <v>150</v>
      </c>
      <c r="H234" s="8">
        <v>104.47</v>
      </c>
      <c r="I234" s="8">
        <v>365645</v>
      </c>
      <c r="J234" s="9">
        <v>10000</v>
      </c>
      <c r="K234" s="10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</row>
    <row r="235" spans="1:18">
      <c r="A235" t="s">
        <v>726</v>
      </c>
      <c r="B235">
        <v>4799804</v>
      </c>
      <c r="C235" s="6">
        <v>46047.5702199074</v>
      </c>
      <c r="D235" s="7" t="s">
        <v>493</v>
      </c>
      <c r="E235" s="8">
        <v>171</v>
      </c>
      <c r="F235" s="8"/>
      <c r="G235" s="8">
        <v>171</v>
      </c>
      <c r="H235" s="8">
        <v>99.77</v>
      </c>
      <c r="I235" s="8">
        <v>349195</v>
      </c>
      <c r="J235" s="9">
        <v>10000</v>
      </c>
      <c r="K235" s="10">
        <v>0</v>
      </c>
      <c r="L235" s="11">
        <v>0</v>
      </c>
      <c r="M235" s="11">
        <v>0</v>
      </c>
      <c r="N235" s="11">
        <v>0</v>
      </c>
      <c r="O235" s="11">
        <v>0</v>
      </c>
      <c r="P235" s="11">
        <v>0</v>
      </c>
      <c r="Q235" s="11">
        <v>0</v>
      </c>
      <c r="R235" s="11">
        <v>0</v>
      </c>
    </row>
    <row r="236" spans="1:18">
      <c r="A236" t="s">
        <v>727</v>
      </c>
      <c r="B236">
        <v>16114032</v>
      </c>
      <c r="C236" s="6">
        <v>45945.509467592601</v>
      </c>
      <c r="D236" s="7" t="s">
        <v>493</v>
      </c>
      <c r="E236" s="8">
        <v>103</v>
      </c>
      <c r="F236" s="8"/>
      <c r="G236" s="8">
        <v>103</v>
      </c>
      <c r="H236" s="8">
        <v>96.86</v>
      </c>
      <c r="I236" s="8">
        <v>339010</v>
      </c>
      <c r="J236" s="9">
        <v>10000</v>
      </c>
      <c r="K236" s="10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0</v>
      </c>
      <c r="R236" s="11">
        <v>0</v>
      </c>
    </row>
    <row r="237" spans="1:18">
      <c r="A237" t="s">
        <v>728</v>
      </c>
      <c r="B237">
        <v>14842690</v>
      </c>
      <c r="C237" s="6">
        <v>45998.045138888898</v>
      </c>
      <c r="D237" s="7" t="s">
        <v>493</v>
      </c>
      <c r="E237" s="8">
        <v>159</v>
      </c>
      <c r="F237" s="8"/>
      <c r="G237" s="8">
        <v>159</v>
      </c>
      <c r="H237" s="8">
        <v>96.61</v>
      </c>
      <c r="I237" s="8">
        <v>338135</v>
      </c>
      <c r="J237" s="9">
        <v>10000</v>
      </c>
      <c r="K237" s="10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0</v>
      </c>
    </row>
    <row r="238" spans="1:18">
      <c r="A238" t="s">
        <v>729</v>
      </c>
      <c r="B238">
        <v>18363082</v>
      </c>
      <c r="C238" s="6">
        <v>46022.179803240702</v>
      </c>
      <c r="D238" s="7" t="s">
        <v>493</v>
      </c>
      <c r="E238" s="8">
        <v>83</v>
      </c>
      <c r="F238" s="8"/>
      <c r="G238" s="8">
        <v>83</v>
      </c>
      <c r="H238" s="8">
        <v>90.98</v>
      </c>
      <c r="I238" s="8">
        <v>318430</v>
      </c>
      <c r="J238" s="9">
        <v>10000</v>
      </c>
      <c r="K238" s="10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Q238" s="11">
        <v>0</v>
      </c>
      <c r="R238" s="11">
        <v>0</v>
      </c>
    </row>
    <row r="239" spans="1:18">
      <c r="A239" t="s">
        <v>730</v>
      </c>
      <c r="B239">
        <v>5286745</v>
      </c>
      <c r="C239" s="6">
        <v>46019.325914351903</v>
      </c>
      <c r="D239" s="7" t="s">
        <v>493</v>
      </c>
      <c r="E239" s="8">
        <v>145</v>
      </c>
      <c r="F239" s="8"/>
      <c r="G239" s="8">
        <v>145</v>
      </c>
      <c r="H239" s="8">
        <v>90.5</v>
      </c>
      <c r="I239" s="8">
        <v>316750</v>
      </c>
      <c r="J239" s="9">
        <v>10000</v>
      </c>
      <c r="K239" s="10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0</v>
      </c>
      <c r="R239" s="11">
        <v>0</v>
      </c>
    </row>
    <row r="240" spans="1:18">
      <c r="A240" t="s">
        <v>731</v>
      </c>
      <c r="B240">
        <v>18141450</v>
      </c>
      <c r="C240" s="6">
        <v>46014.659814814797</v>
      </c>
      <c r="D240" s="7" t="s">
        <v>493</v>
      </c>
      <c r="E240" s="8">
        <v>121</v>
      </c>
      <c r="F240" s="8"/>
      <c r="G240" s="8">
        <v>121</v>
      </c>
      <c r="H240" s="8">
        <v>88</v>
      </c>
      <c r="I240" s="8">
        <v>308000</v>
      </c>
      <c r="J240" s="9">
        <v>10000</v>
      </c>
      <c r="K240" s="10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</row>
    <row r="241" spans="1:18">
      <c r="A241" t="s">
        <v>732</v>
      </c>
      <c r="B241">
        <v>5373479</v>
      </c>
      <c r="C241" s="6">
        <v>45930.284178240698</v>
      </c>
      <c r="D241" s="7" t="s">
        <v>493</v>
      </c>
      <c r="E241" s="8">
        <v>76</v>
      </c>
      <c r="F241" s="8"/>
      <c r="G241" s="8">
        <v>76</v>
      </c>
      <c r="H241" s="8">
        <v>85.05</v>
      </c>
      <c r="I241" s="8">
        <v>297675</v>
      </c>
      <c r="J241" s="9">
        <v>10000</v>
      </c>
      <c r="K241" s="10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</row>
    <row r="242" spans="1:18">
      <c r="A242" t="s">
        <v>733</v>
      </c>
      <c r="B242">
        <v>17656061</v>
      </c>
      <c r="C242" s="6">
        <v>45964.145949074104</v>
      </c>
      <c r="D242" s="7" t="s">
        <v>493</v>
      </c>
      <c r="E242" s="8">
        <v>93</v>
      </c>
      <c r="F242" s="8"/>
      <c r="G242" s="8">
        <v>93</v>
      </c>
      <c r="H242" s="8">
        <v>84.96</v>
      </c>
      <c r="I242" s="8">
        <v>297360</v>
      </c>
      <c r="J242" s="9">
        <v>10000</v>
      </c>
      <c r="K242" s="10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</row>
    <row r="243" spans="1:18">
      <c r="A243" t="s">
        <v>734</v>
      </c>
      <c r="B243">
        <v>18375792</v>
      </c>
      <c r="C243" s="6">
        <v>45947.170775462997</v>
      </c>
      <c r="D243" s="7" t="s">
        <v>493</v>
      </c>
      <c r="E243" s="8">
        <v>265</v>
      </c>
      <c r="F243" s="8"/>
      <c r="G243" s="8">
        <v>265</v>
      </c>
      <c r="H243" s="8">
        <v>84.28</v>
      </c>
      <c r="I243" s="8">
        <v>294980</v>
      </c>
      <c r="J243" s="9">
        <v>10000</v>
      </c>
      <c r="K243" s="10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</row>
    <row r="244" spans="1:18">
      <c r="A244" t="s">
        <v>735</v>
      </c>
      <c r="B244">
        <v>17741775</v>
      </c>
      <c r="C244" s="6">
        <v>46030.721215277801</v>
      </c>
      <c r="D244" s="7" t="s">
        <v>493</v>
      </c>
      <c r="E244" s="8">
        <v>77</v>
      </c>
      <c r="F244" s="8"/>
      <c r="G244" s="8">
        <v>77</v>
      </c>
      <c r="H244" s="8">
        <v>82.44</v>
      </c>
      <c r="I244" s="8">
        <v>288540</v>
      </c>
      <c r="J244" s="9">
        <v>10000</v>
      </c>
      <c r="K244" s="10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</row>
    <row r="245" spans="1:18">
      <c r="A245" t="s">
        <v>736</v>
      </c>
      <c r="B245">
        <v>9340659</v>
      </c>
      <c r="C245" s="6">
        <v>46006.407974537004</v>
      </c>
      <c r="D245" s="7" t="s">
        <v>493</v>
      </c>
      <c r="E245" s="8">
        <v>83</v>
      </c>
      <c r="F245" s="8"/>
      <c r="G245" s="8">
        <v>83</v>
      </c>
      <c r="H245" s="8">
        <v>81.599999999999994</v>
      </c>
      <c r="I245" s="8">
        <v>285600</v>
      </c>
      <c r="J245" s="9">
        <v>10000</v>
      </c>
      <c r="K245" s="10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0</v>
      </c>
      <c r="R245" s="11">
        <v>0</v>
      </c>
    </row>
    <row r="246" spans="1:18">
      <c r="A246" t="s">
        <v>737</v>
      </c>
      <c r="B246">
        <v>13214411</v>
      </c>
      <c r="C246" s="6">
        <v>46058.526250000003</v>
      </c>
      <c r="D246" s="7" t="s">
        <v>493</v>
      </c>
      <c r="E246" s="8">
        <v>133</v>
      </c>
      <c r="F246" s="8"/>
      <c r="G246" s="8">
        <v>133</v>
      </c>
      <c r="H246" s="8">
        <v>80.67</v>
      </c>
      <c r="I246" s="8">
        <v>282345</v>
      </c>
      <c r="J246" s="9">
        <v>10000</v>
      </c>
      <c r="K246" s="10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0</v>
      </c>
      <c r="R246" s="11">
        <v>0</v>
      </c>
    </row>
    <row r="247" spans="1:18">
      <c r="A247" t="s">
        <v>738</v>
      </c>
      <c r="B247">
        <v>18372862</v>
      </c>
      <c r="C247" s="6">
        <v>46014.735173611101</v>
      </c>
      <c r="D247" s="7" t="s">
        <v>493</v>
      </c>
      <c r="E247" s="8">
        <v>157</v>
      </c>
      <c r="F247" s="8"/>
      <c r="G247" s="8">
        <v>157</v>
      </c>
      <c r="H247" s="8">
        <v>79.36</v>
      </c>
      <c r="I247" s="8">
        <v>277760</v>
      </c>
      <c r="J247" s="9">
        <v>10000</v>
      </c>
      <c r="K247" s="10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</row>
    <row r="248" spans="1:18">
      <c r="A248" t="s">
        <v>739</v>
      </c>
      <c r="B248">
        <v>8635882</v>
      </c>
      <c r="C248" s="6">
        <v>46050.749363425901</v>
      </c>
      <c r="D248" s="7" t="s">
        <v>493</v>
      </c>
      <c r="E248" s="8">
        <v>83</v>
      </c>
      <c r="F248" s="8"/>
      <c r="G248" s="8">
        <v>83</v>
      </c>
      <c r="H248" s="8">
        <v>77.400000000000006</v>
      </c>
      <c r="I248" s="8">
        <v>270900</v>
      </c>
      <c r="J248" s="9">
        <v>10000</v>
      </c>
      <c r="K248" s="10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</row>
    <row r="249" spans="1:18">
      <c r="A249" t="s">
        <v>740</v>
      </c>
      <c r="B249">
        <v>4705255</v>
      </c>
      <c r="C249" s="6">
        <v>46050.658032407402</v>
      </c>
      <c r="D249" s="7" t="s">
        <v>493</v>
      </c>
      <c r="E249" s="8">
        <v>92</v>
      </c>
      <c r="F249" s="8"/>
      <c r="G249" s="8">
        <v>92</v>
      </c>
      <c r="H249" s="8">
        <v>77.09</v>
      </c>
      <c r="I249" s="8">
        <v>269815</v>
      </c>
      <c r="J249" s="9">
        <v>10000</v>
      </c>
      <c r="K249" s="10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0</v>
      </c>
      <c r="R249" s="11">
        <v>0</v>
      </c>
    </row>
    <row r="250" spans="1:18">
      <c r="A250" t="s">
        <v>741</v>
      </c>
      <c r="B250">
        <v>10153506</v>
      </c>
      <c r="C250" s="6">
        <v>46063.865474537</v>
      </c>
      <c r="D250" s="7" t="s">
        <v>493</v>
      </c>
      <c r="E250" s="8">
        <v>150</v>
      </c>
      <c r="F250" s="8"/>
      <c r="G250" s="8">
        <v>150</v>
      </c>
      <c r="H250" s="8">
        <v>76.260000000000005</v>
      </c>
      <c r="I250" s="8">
        <v>266910</v>
      </c>
      <c r="J250" s="9">
        <v>10000</v>
      </c>
      <c r="K250" s="10">
        <v>0</v>
      </c>
      <c r="L250" s="11">
        <v>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</row>
    <row r="251" spans="1:18">
      <c r="A251" t="s">
        <v>742</v>
      </c>
      <c r="B251">
        <v>10725990</v>
      </c>
      <c r="C251" s="6">
        <v>45994.847847222198</v>
      </c>
      <c r="D251" s="7" t="s">
        <v>493</v>
      </c>
      <c r="E251" s="8">
        <v>75</v>
      </c>
      <c r="F251" s="8"/>
      <c r="G251" s="8">
        <v>75</v>
      </c>
      <c r="H251" s="8">
        <v>73.97</v>
      </c>
      <c r="I251" s="8">
        <v>258895</v>
      </c>
      <c r="J251" s="9">
        <v>10000</v>
      </c>
      <c r="K251" s="10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0</v>
      </c>
      <c r="R251" s="11">
        <v>0</v>
      </c>
    </row>
    <row r="252" spans="1:18">
      <c r="A252" t="s">
        <v>743</v>
      </c>
      <c r="B252">
        <v>16690810</v>
      </c>
      <c r="C252" s="6">
        <v>45951.697685185201</v>
      </c>
      <c r="D252" s="7" t="s">
        <v>493</v>
      </c>
      <c r="E252" s="8">
        <v>110</v>
      </c>
      <c r="F252" s="8"/>
      <c r="G252" s="8">
        <v>110</v>
      </c>
      <c r="H252" s="8">
        <v>71.89</v>
      </c>
      <c r="I252" s="8">
        <v>251615</v>
      </c>
      <c r="J252" s="9">
        <v>10000</v>
      </c>
      <c r="K252" s="10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</row>
    <row r="253" spans="1:18">
      <c r="A253" t="s">
        <v>744</v>
      </c>
      <c r="B253">
        <v>15887878</v>
      </c>
      <c r="C253" s="6">
        <v>46024.121932870403</v>
      </c>
      <c r="D253" s="7" t="s">
        <v>493</v>
      </c>
      <c r="E253" s="8">
        <v>147</v>
      </c>
      <c r="F253" s="8"/>
      <c r="G253" s="8">
        <v>147</v>
      </c>
      <c r="H253" s="8">
        <v>69.849999999999994</v>
      </c>
      <c r="I253" s="8">
        <v>244475</v>
      </c>
      <c r="J253" s="9">
        <v>10000</v>
      </c>
      <c r="K253" s="10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</row>
    <row r="254" spans="1:18">
      <c r="A254" t="s">
        <v>745</v>
      </c>
      <c r="B254">
        <v>18014722</v>
      </c>
      <c r="C254" s="6">
        <v>45984.853726851798</v>
      </c>
      <c r="D254" s="7" t="s">
        <v>493</v>
      </c>
      <c r="E254" s="8">
        <v>77</v>
      </c>
      <c r="F254" s="8"/>
      <c r="G254" s="8">
        <v>77</v>
      </c>
      <c r="H254" s="8">
        <v>65.59</v>
      </c>
      <c r="I254" s="8">
        <v>229565</v>
      </c>
      <c r="J254" s="9">
        <v>10000</v>
      </c>
      <c r="K254" s="10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</row>
    <row r="255" spans="1:18">
      <c r="A255" t="s">
        <v>746</v>
      </c>
      <c r="B255">
        <v>12404516</v>
      </c>
      <c r="C255" s="6">
        <v>46062.217997685198</v>
      </c>
      <c r="D255" s="7" t="s">
        <v>493</v>
      </c>
      <c r="E255" s="8">
        <v>143</v>
      </c>
      <c r="F255" s="8"/>
      <c r="G255" s="8">
        <v>143</v>
      </c>
      <c r="H255" s="8">
        <v>62.27</v>
      </c>
      <c r="I255" s="8">
        <v>217945</v>
      </c>
      <c r="J255" s="9">
        <v>10000</v>
      </c>
      <c r="K255" s="10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</row>
    <row r="256" spans="1:18">
      <c r="A256" t="s">
        <v>747</v>
      </c>
      <c r="B256">
        <v>10630107</v>
      </c>
      <c r="C256" s="6">
        <v>46057.978564814803</v>
      </c>
      <c r="D256" s="7" t="s">
        <v>493</v>
      </c>
      <c r="E256" s="8">
        <v>111</v>
      </c>
      <c r="F256" s="8"/>
      <c r="G256" s="8">
        <v>111</v>
      </c>
      <c r="H256" s="8">
        <v>62.11</v>
      </c>
      <c r="I256" s="8">
        <v>217385</v>
      </c>
      <c r="J256" s="9">
        <v>10000</v>
      </c>
      <c r="K256" s="10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</row>
    <row r="257" spans="1:18">
      <c r="A257" t="s">
        <v>748</v>
      </c>
      <c r="B257">
        <v>16283570</v>
      </c>
      <c r="C257" s="6">
        <v>45963.147013888898</v>
      </c>
      <c r="D257" s="7" t="s">
        <v>493</v>
      </c>
      <c r="E257" s="8">
        <v>104</v>
      </c>
      <c r="F257" s="8"/>
      <c r="G257" s="8">
        <v>104</v>
      </c>
      <c r="H257" s="8">
        <v>57.47</v>
      </c>
      <c r="I257" s="8">
        <v>201145</v>
      </c>
      <c r="J257" s="9">
        <v>10000</v>
      </c>
      <c r="K257" s="10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0</v>
      </c>
      <c r="R257" s="11">
        <v>0</v>
      </c>
    </row>
    <row r="258" spans="1:18">
      <c r="A258" t="s">
        <v>749</v>
      </c>
      <c r="B258">
        <v>17487271</v>
      </c>
      <c r="C258" s="6">
        <v>46035.421863425901</v>
      </c>
      <c r="D258" s="7" t="s">
        <v>493</v>
      </c>
      <c r="E258" s="8">
        <v>91</v>
      </c>
      <c r="F258" s="8"/>
      <c r="G258" s="8">
        <v>91</v>
      </c>
      <c r="H258" s="8">
        <v>54.15</v>
      </c>
      <c r="I258" s="8">
        <v>189525</v>
      </c>
      <c r="J258" s="9">
        <v>10000</v>
      </c>
      <c r="K258" s="10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0</v>
      </c>
      <c r="R258" s="11">
        <v>0</v>
      </c>
    </row>
    <row r="259" spans="1:18">
      <c r="A259" t="s">
        <v>750</v>
      </c>
      <c r="B259">
        <v>16387534</v>
      </c>
      <c r="C259" s="6">
        <v>45993.768773148098</v>
      </c>
      <c r="D259" s="7" t="s">
        <v>493</v>
      </c>
      <c r="E259" s="8">
        <v>74</v>
      </c>
      <c r="F259" s="8"/>
      <c r="G259" s="8">
        <v>74</v>
      </c>
      <c r="H259" s="8">
        <v>53.4</v>
      </c>
      <c r="I259" s="8">
        <v>186900</v>
      </c>
      <c r="J259" s="9">
        <v>10000</v>
      </c>
      <c r="K259" s="10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</row>
    <row r="260" spans="1:18">
      <c r="A260" t="s">
        <v>751</v>
      </c>
      <c r="B260">
        <v>17727642</v>
      </c>
      <c r="C260" s="6">
        <v>45929.784803240698</v>
      </c>
      <c r="D260" s="7" t="s">
        <v>493</v>
      </c>
      <c r="E260" s="8">
        <v>111</v>
      </c>
      <c r="F260" s="8"/>
      <c r="G260" s="8">
        <v>111</v>
      </c>
      <c r="H260" s="8">
        <v>50.64</v>
      </c>
      <c r="I260" s="8">
        <v>177240</v>
      </c>
      <c r="J260" s="9">
        <v>10000</v>
      </c>
      <c r="K260" s="10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0</v>
      </c>
      <c r="R260" s="11">
        <v>0</v>
      </c>
    </row>
    <row r="261" spans="1:18">
      <c r="A261" t="s">
        <v>752</v>
      </c>
      <c r="B261">
        <v>16838975</v>
      </c>
      <c r="C261" s="6">
        <v>45966.537731481498</v>
      </c>
      <c r="D261" s="7" t="s">
        <v>493</v>
      </c>
      <c r="E261" s="8">
        <v>207</v>
      </c>
      <c r="F261" s="8"/>
      <c r="G261" s="8">
        <v>207</v>
      </c>
      <c r="H261" s="8">
        <v>47.58</v>
      </c>
      <c r="I261" s="8">
        <v>166530</v>
      </c>
      <c r="J261" s="9">
        <v>10000</v>
      </c>
      <c r="K261" s="10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0</v>
      </c>
      <c r="R261" s="11">
        <v>0</v>
      </c>
    </row>
    <row r="262" spans="1:18">
      <c r="A262" t="s">
        <v>753</v>
      </c>
      <c r="B262">
        <v>17506571</v>
      </c>
      <c r="C262" s="6">
        <v>46020.892118055599</v>
      </c>
      <c r="D262" s="7" t="s">
        <v>493</v>
      </c>
      <c r="E262" s="8">
        <v>90</v>
      </c>
      <c r="F262" s="8"/>
      <c r="G262" s="8">
        <v>90</v>
      </c>
      <c r="H262" s="8">
        <v>44.07</v>
      </c>
      <c r="I262" s="8">
        <v>154245</v>
      </c>
      <c r="J262" s="9">
        <v>10000</v>
      </c>
      <c r="K262" s="10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</row>
    <row r="263" spans="1:18">
      <c r="A263" t="s">
        <v>754</v>
      </c>
      <c r="B263">
        <v>10581824</v>
      </c>
      <c r="C263" s="6">
        <v>46057.338877314804</v>
      </c>
      <c r="D263" s="7" t="s">
        <v>493</v>
      </c>
      <c r="E263" s="8">
        <v>367</v>
      </c>
      <c r="F263" s="8"/>
      <c r="G263" s="8">
        <v>367</v>
      </c>
      <c r="H263" s="8">
        <v>25.77</v>
      </c>
      <c r="I263" s="8">
        <v>90195</v>
      </c>
      <c r="J263" s="9">
        <v>10000</v>
      </c>
      <c r="K263" s="10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</row>
    <row r="264" spans="1:18">
      <c r="A264" t="s">
        <v>755</v>
      </c>
      <c r="B264">
        <v>9562520</v>
      </c>
      <c r="C264" s="6">
        <v>46044.662094907399</v>
      </c>
      <c r="D264" s="7" t="s">
        <v>493</v>
      </c>
      <c r="E264" s="8">
        <v>353</v>
      </c>
      <c r="F264" s="8"/>
      <c r="G264" s="8">
        <v>353</v>
      </c>
      <c r="H264" s="8">
        <v>20.81</v>
      </c>
      <c r="I264" s="8">
        <v>72835</v>
      </c>
      <c r="J264" s="9">
        <v>10000</v>
      </c>
      <c r="K264" s="10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</row>
    <row r="265" spans="1:18">
      <c r="A265" t="s">
        <v>756</v>
      </c>
      <c r="B265">
        <v>17880292</v>
      </c>
      <c r="C265" s="6">
        <v>46041.202569444402</v>
      </c>
      <c r="D265" s="7" t="s">
        <v>493</v>
      </c>
      <c r="E265" s="8">
        <v>157</v>
      </c>
      <c r="F265" s="8"/>
      <c r="G265" s="8">
        <v>157</v>
      </c>
      <c r="H265" s="8">
        <v>11.34</v>
      </c>
      <c r="I265" s="8">
        <v>39690</v>
      </c>
      <c r="J265" s="9">
        <v>10000</v>
      </c>
      <c r="K265" s="10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</row>
    <row r="266" spans="1:18">
      <c r="A266" t="s">
        <v>757</v>
      </c>
      <c r="B266">
        <v>975010</v>
      </c>
      <c r="C266" s="6">
        <v>46052.395405092597</v>
      </c>
      <c r="D266" s="7" t="s">
        <v>493</v>
      </c>
      <c r="E266" s="8">
        <v>78</v>
      </c>
      <c r="F266" s="8"/>
      <c r="G266" s="8">
        <v>78</v>
      </c>
      <c r="H266" s="8">
        <v>6.84</v>
      </c>
      <c r="I266" s="8">
        <v>23940</v>
      </c>
      <c r="J266" s="9">
        <v>10000</v>
      </c>
      <c r="K266" s="10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</row>
    <row r="267" spans="1:18">
      <c r="A267" t="s">
        <v>758</v>
      </c>
      <c r="B267">
        <v>16063347</v>
      </c>
      <c r="C267" s="6">
        <v>46017.307696759301</v>
      </c>
      <c r="D267" s="7" t="s">
        <v>493</v>
      </c>
      <c r="E267" s="8">
        <v>81</v>
      </c>
      <c r="F267" s="8"/>
      <c r="G267" s="8">
        <v>81</v>
      </c>
      <c r="H267" s="8">
        <v>6.57</v>
      </c>
      <c r="I267" s="8">
        <v>22995</v>
      </c>
      <c r="J267" s="9">
        <v>10000</v>
      </c>
      <c r="K267" s="10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0</v>
      </c>
      <c r="R267" s="11">
        <v>0</v>
      </c>
    </row>
    <row r="268" spans="1:18">
      <c r="A268" t="s">
        <v>759</v>
      </c>
      <c r="B268">
        <v>18243296</v>
      </c>
      <c r="C268" s="6">
        <v>45988.403067129599</v>
      </c>
      <c r="D268" s="7" t="s">
        <v>493</v>
      </c>
      <c r="E268" s="8">
        <v>99</v>
      </c>
      <c r="F268" s="8"/>
      <c r="G268" s="8">
        <v>99</v>
      </c>
      <c r="H268" s="8">
        <v>2.29</v>
      </c>
      <c r="I268" s="8">
        <v>8015</v>
      </c>
      <c r="J268" s="9">
        <v>10000</v>
      </c>
      <c r="K268" s="10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</row>
    <row r="269" spans="1:18">
      <c r="A269" t="s">
        <v>760</v>
      </c>
      <c r="B269">
        <v>13255064</v>
      </c>
      <c r="C269" s="6">
        <v>45929.521886574097</v>
      </c>
      <c r="D269" s="7" t="s">
        <v>493</v>
      </c>
      <c r="E269" s="8">
        <v>116</v>
      </c>
      <c r="F269" s="8"/>
      <c r="G269" s="8">
        <v>116</v>
      </c>
      <c r="H269" s="8">
        <v>1.24</v>
      </c>
      <c r="I269" s="8">
        <v>4340</v>
      </c>
      <c r="J269" s="9">
        <v>10000</v>
      </c>
      <c r="K269" s="10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0</v>
      </c>
      <c r="R269" s="11">
        <v>0</v>
      </c>
    </row>
    <row r="270" spans="1:18">
      <c r="A270" t="s">
        <v>761</v>
      </c>
      <c r="B270">
        <v>16995366</v>
      </c>
      <c r="C270" s="6">
        <v>45927.700960648202</v>
      </c>
      <c r="D270" s="7" t="s">
        <v>493</v>
      </c>
      <c r="E270" s="8">
        <v>92</v>
      </c>
      <c r="F270" s="8"/>
      <c r="G270" s="8">
        <v>92</v>
      </c>
      <c r="H270" s="8">
        <v>1.03</v>
      </c>
      <c r="I270" s="8">
        <v>3605</v>
      </c>
      <c r="J270" s="9">
        <v>10000</v>
      </c>
      <c r="K270" s="10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</row>
  </sheetData>
  <autoFilter ref="A1:R270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体育</vt:lpstr>
      <vt:lpstr>游戏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Mark</cp:lastModifiedBy>
  <dcterms:created xsi:type="dcterms:W3CDTF">2023-05-12T19:15:00Z</dcterms:created>
  <dcterms:modified xsi:type="dcterms:W3CDTF">2026-04-07T09:00:05Z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F24A6B25AAD64C0FB35878EB82369AC9_12</vt:lpwstr>
  </property>
  <property fmtid="{D5CDD505-2E9C-101B-9397-08002B2CF9AE}" pid="4" name="CalculationRule">
    <vt:i4>0</vt:i4>
  </property>
</Properties>
</file>